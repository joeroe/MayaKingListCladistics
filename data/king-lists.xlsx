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f921\Desktop\"/>
    </mc:Choice>
  </mc:AlternateContent>
  <xr:revisionPtr revIDLastSave="0" documentId="13_ncr:1_{0A051FCC-6E82-4BB0-A243-77E443EEC2E8}" xr6:coauthVersionLast="47" xr6:coauthVersionMax="47" xr10:uidLastSave="{00000000-0000-0000-0000-000000000000}"/>
  <bookViews>
    <workbookView xWindow="-108" yWindow="-108" windowWidth="23256" windowHeight="12456" xr2:uid="{B99054B1-2C41-4E1E-AA97-002815B466E9}"/>
  </bookViews>
  <sheets>
    <sheet name="variations" sheetId="2" r:id="rId1"/>
    <sheet name="CR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5" l="1"/>
  <c r="Q57" i="5"/>
  <c r="S55" i="5"/>
  <c r="S54" i="5"/>
  <c r="S53" i="5"/>
  <c r="J73" i="5"/>
  <c r="G72" i="5"/>
  <c r="R57" i="5" l="1"/>
  <c r="R60" i="5" s="1"/>
</calcChain>
</file>

<file path=xl/sharedStrings.xml><?xml version="1.0" encoding="utf-8"?>
<sst xmlns="http://schemas.openxmlformats.org/spreadsheetml/2006/main" count="1149" uniqueCount="231">
  <si>
    <t>coef of Chuwen</t>
  </si>
  <si>
    <t>12 w/ filler</t>
  </si>
  <si>
    <t>7 w/ filler</t>
  </si>
  <si>
    <t>9 w/o filler</t>
  </si>
  <si>
    <t>bu</t>
  </si>
  <si>
    <t>#</t>
  </si>
  <si>
    <t>wa</t>
  </si>
  <si>
    <t>verb-ending</t>
  </si>
  <si>
    <t>la</t>
  </si>
  <si>
    <t>ya</t>
  </si>
  <si>
    <t>R1</t>
  </si>
  <si>
    <t>8 equal</t>
  </si>
  <si>
    <t>3 main + 4 lateral</t>
  </si>
  <si>
    <t>3 main + 2 lateral</t>
  </si>
  <si>
    <t>10 equal</t>
  </si>
  <si>
    <r>
      <rPr>
        <b/>
        <sz val="11"/>
        <color theme="1"/>
        <rFont val="Aptos Narrow"/>
        <family val="2"/>
        <scheme val="minor"/>
      </rPr>
      <t>CHAN</t>
    </r>
    <r>
      <rPr>
        <sz val="11"/>
        <color theme="1"/>
        <rFont val="Aptos Narrow"/>
        <family val="2"/>
        <scheme val="minor"/>
      </rPr>
      <t xml:space="preserve"> number of dots</t>
    </r>
  </si>
  <si>
    <t>EG with phon. comp.</t>
  </si>
  <si>
    <r>
      <t xml:space="preserve">phon. comp. </t>
    </r>
    <r>
      <rPr>
        <b/>
        <sz val="11"/>
        <color theme="1"/>
        <rFont val="Aptos Narrow"/>
        <family val="2"/>
        <scheme val="minor"/>
      </rPr>
      <t>bu/wa</t>
    </r>
    <r>
      <rPr>
        <sz val="11"/>
        <color theme="1"/>
        <rFont val="Aptos Narrow"/>
        <family val="2"/>
        <scheme val="minor"/>
      </rPr>
      <t xml:space="preserve"> of Pop</t>
    </r>
  </si>
  <si>
    <t>R2</t>
  </si>
  <si>
    <t>coef of Imix</t>
  </si>
  <si>
    <t>placement of coef of Imix</t>
  </si>
  <si>
    <t>L</t>
  </si>
  <si>
    <t>Top</t>
  </si>
  <si>
    <t>archetype</t>
  </si>
  <si>
    <t>variants</t>
  </si>
  <si>
    <t>Ruler</t>
  </si>
  <si>
    <t>coef of Yaxk'in</t>
  </si>
  <si>
    <t>placement of coef of Yaxk'in</t>
  </si>
  <si>
    <t>Yes</t>
  </si>
  <si>
    <t>No</t>
  </si>
  <si>
    <t>kalo'mte' after EG?</t>
  </si>
  <si>
    <t>EG + kalo'mte' separate?</t>
  </si>
  <si>
    <t>verb + name separate?</t>
  </si>
  <si>
    <t>R3</t>
  </si>
  <si>
    <t>coef of Chak-siho'm?</t>
  </si>
  <si>
    <t>verb deleted?</t>
  </si>
  <si>
    <t>EG deleted?</t>
  </si>
  <si>
    <t>R4</t>
  </si>
  <si>
    <r>
      <t xml:space="preserve">head-variant form for </t>
    </r>
    <r>
      <rPr>
        <b/>
        <sz val="11"/>
        <color theme="1"/>
        <rFont val="Aptos Narrow"/>
        <family val="2"/>
        <scheme val="minor"/>
      </rPr>
      <t>UX</t>
    </r>
    <r>
      <rPr>
        <sz val="11"/>
        <color theme="1"/>
        <rFont val="Aptos Narrow"/>
        <family val="2"/>
        <scheme val="minor"/>
      </rPr>
      <t>?</t>
    </r>
  </si>
  <si>
    <t>coef for Muwaan</t>
  </si>
  <si>
    <t>1 w/ fillers</t>
  </si>
  <si>
    <r>
      <t xml:space="preserve">Haab </t>
    </r>
    <r>
      <rPr>
        <b/>
        <sz val="11"/>
        <color theme="1"/>
        <rFont val="Aptos Narrow"/>
        <family val="2"/>
        <scheme val="minor"/>
      </rPr>
      <t>TE'</t>
    </r>
    <r>
      <rPr>
        <sz val="11"/>
        <color theme="1"/>
        <rFont val="Aptos Narrow"/>
        <family val="2"/>
        <scheme val="minor"/>
      </rPr>
      <t xml:space="preserve"> num. class.</t>
    </r>
  </si>
  <si>
    <t>orientation of num. class.</t>
  </si>
  <si>
    <t>vert</t>
  </si>
  <si>
    <t>horiz</t>
  </si>
  <si>
    <r>
      <t xml:space="preserve">placement of </t>
    </r>
    <r>
      <rPr>
        <b/>
        <sz val="11"/>
        <color theme="1"/>
        <rFont val="Aptos Narrow"/>
        <family val="2"/>
        <scheme val="minor"/>
      </rPr>
      <t>CHAK</t>
    </r>
    <r>
      <rPr>
        <sz val="11"/>
        <color theme="1"/>
        <rFont val="Aptos Narrow"/>
        <family val="2"/>
        <scheme val="minor"/>
      </rPr>
      <t xml:space="preserve"> (in name)</t>
    </r>
  </si>
  <si>
    <r>
      <t xml:space="preserve">rendering of </t>
    </r>
    <r>
      <rPr>
        <b/>
        <sz val="11"/>
        <color theme="1"/>
        <rFont val="Aptos Narrow"/>
        <family val="2"/>
        <scheme val="minor"/>
      </rPr>
      <t>CHAK</t>
    </r>
    <r>
      <rPr>
        <sz val="11"/>
        <color theme="1"/>
        <rFont val="Aptos Narrow"/>
        <family val="2"/>
        <scheme val="minor"/>
      </rPr>
      <t xml:space="preserve"> as </t>
    </r>
    <r>
      <rPr>
        <b/>
        <sz val="11"/>
        <color theme="1"/>
        <rFont val="Aptos Narrow"/>
        <family val="2"/>
        <scheme val="minor"/>
      </rPr>
      <t>YAX</t>
    </r>
  </si>
  <si>
    <t>chak</t>
  </si>
  <si>
    <t>yax</t>
  </si>
  <si>
    <r>
      <rPr>
        <b/>
        <sz val="11"/>
        <color theme="1"/>
        <rFont val="Aptos Narrow"/>
        <family val="2"/>
        <scheme val="minor"/>
      </rPr>
      <t>JOL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la</t>
    </r>
    <r>
      <rPr>
        <sz val="11"/>
        <color theme="1"/>
        <rFont val="Aptos Narrow"/>
        <family val="2"/>
        <scheme val="minor"/>
      </rPr>
      <t xml:space="preserve"> phon. comp.</t>
    </r>
  </si>
  <si>
    <t>R5</t>
  </si>
  <si>
    <t>coef of Ajaw</t>
  </si>
  <si>
    <t>coef of Sotz'</t>
  </si>
  <si>
    <t>4?</t>
  </si>
  <si>
    <r>
      <t>Haab</t>
    </r>
    <r>
      <rPr>
        <b/>
        <sz val="11"/>
        <color theme="1"/>
        <rFont val="Aptos Narrow"/>
        <family val="2"/>
        <scheme val="minor"/>
      </rPr>
      <t xml:space="preserve"> TE'</t>
    </r>
    <r>
      <rPr>
        <sz val="11"/>
        <color theme="1"/>
        <rFont val="Aptos Narrow"/>
        <family val="2"/>
        <scheme val="minor"/>
      </rPr>
      <t xml:space="preserve"> num. class.</t>
    </r>
  </si>
  <si>
    <r>
      <t xml:space="preserve">Sotz' with </t>
    </r>
    <r>
      <rPr>
        <b/>
        <sz val="11"/>
        <color theme="1"/>
        <rFont val="Aptos Narrow"/>
        <family val="2"/>
        <scheme val="minor"/>
      </rPr>
      <t>la</t>
    </r>
    <r>
      <rPr>
        <sz val="11"/>
        <color theme="1"/>
        <rFont val="Aptos Narrow"/>
        <family val="2"/>
        <scheme val="minor"/>
      </rPr>
      <t>?</t>
    </r>
  </si>
  <si>
    <r>
      <rPr>
        <b/>
        <sz val="11"/>
        <color theme="1"/>
        <rFont val="Aptos Narrow"/>
        <family val="2"/>
        <scheme val="minor"/>
      </rPr>
      <t>JOL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 xml:space="preserve">la </t>
    </r>
    <r>
      <rPr>
        <sz val="11"/>
        <color theme="1"/>
        <rFont val="Aptos Narrow"/>
        <family val="2"/>
        <scheme val="minor"/>
      </rPr>
      <t>phon. comp.</t>
    </r>
  </si>
  <si>
    <r>
      <rPr>
        <b/>
        <sz val="11"/>
        <color theme="1"/>
        <rFont val="Aptos Narrow"/>
        <family val="2"/>
        <scheme val="minor"/>
      </rPr>
      <t>ta</t>
    </r>
    <r>
      <rPr>
        <sz val="11"/>
        <color theme="1"/>
        <rFont val="Aptos Narrow"/>
        <family val="2"/>
        <scheme val="minor"/>
      </rPr>
      <t xml:space="preserve"> split over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coef.?</t>
    </r>
  </si>
  <si>
    <t>Mol with phon comp</t>
  </si>
  <si>
    <t>coef for Mol</t>
  </si>
  <si>
    <t>11 w/ fillers</t>
  </si>
  <si>
    <r>
      <rPr>
        <b/>
        <sz val="11"/>
        <color theme="1"/>
        <rFont val="Aptos Narrow"/>
        <family val="2"/>
        <scheme val="minor"/>
      </rPr>
      <t xml:space="preserve">JOL </t>
    </r>
    <r>
      <rPr>
        <sz val="11"/>
        <color theme="1"/>
        <rFont val="Aptos Narrow"/>
        <family val="2"/>
        <scheme val="minor"/>
      </rPr>
      <t>with la phon. comp.</t>
    </r>
  </si>
  <si>
    <t>R6</t>
  </si>
  <si>
    <t>R7</t>
  </si>
  <si>
    <t>coef for Kib</t>
  </si>
  <si>
    <t>coef for Haab</t>
  </si>
  <si>
    <t>Haab siho'm</t>
  </si>
  <si>
    <t>SIH-ma</t>
  </si>
  <si>
    <t>spelling of nominal</t>
  </si>
  <si>
    <t>a-xi-la</t>
  </si>
  <si>
    <t>#-xi-#</t>
  </si>
  <si>
    <t>a-xi-ma</t>
  </si>
  <si>
    <t>R8</t>
  </si>
  <si>
    <t>coef of Lamat</t>
  </si>
  <si>
    <t>wind-god headband in nominal</t>
  </si>
  <si>
    <t>R9</t>
  </si>
  <si>
    <t>CR merged as a single glyphblock</t>
  </si>
  <si>
    <t>coef of Muluk</t>
  </si>
  <si>
    <t>coef of K'ank'in</t>
  </si>
  <si>
    <t>spelling of K'ank'in</t>
  </si>
  <si>
    <t>UN-wa</t>
  </si>
  <si>
    <t>UN-la</t>
  </si>
  <si>
    <t>nominal spelling</t>
  </si>
  <si>
    <t>AK'AB-OL-BALAM</t>
  </si>
  <si>
    <t>AK'AB-OL-la-BALAM-ma</t>
  </si>
  <si>
    <t>AK'AB-OL-BALAM-ma</t>
  </si>
  <si>
    <t>R10</t>
  </si>
  <si>
    <t>6 w/ fillers</t>
  </si>
  <si>
    <t>coef of Sip</t>
  </si>
  <si>
    <t>8#</t>
  </si>
  <si>
    <t>5#</t>
  </si>
  <si>
    <t>spelling of Sip (phon. comp.)</t>
  </si>
  <si>
    <t>ta?</t>
  </si>
  <si>
    <t>EG suppressed</t>
  </si>
  <si>
    <t>R11</t>
  </si>
  <si>
    <t>coef of Kaban</t>
  </si>
  <si>
    <t>coef of Kej</t>
  </si>
  <si>
    <t>ka-KAN-la</t>
  </si>
  <si>
    <t>ka-KAN-nu</t>
  </si>
  <si>
    <t>BOD121</t>
  </si>
  <si>
    <t>K0955</t>
  </si>
  <si>
    <t>K0999</t>
  </si>
  <si>
    <t>K1005</t>
  </si>
  <si>
    <t>K1302</t>
  </si>
  <si>
    <t>K1334</t>
  </si>
  <si>
    <t>K1344</t>
  </si>
  <si>
    <t>K1371</t>
  </si>
  <si>
    <t>K1372</t>
  </si>
  <si>
    <t>K2094</t>
  </si>
  <si>
    <t>K5863</t>
  </si>
  <si>
    <t>K6751</t>
  </si>
  <si>
    <t>orientation of TAJ in name</t>
  </si>
  <si>
    <r>
      <t xml:space="preserve">orientation of </t>
    </r>
    <r>
      <rPr>
        <b/>
        <sz val="11"/>
        <color theme="1"/>
        <rFont val="Aptos Narrow"/>
        <family val="2"/>
        <scheme val="minor"/>
      </rPr>
      <t xml:space="preserve">TE' </t>
    </r>
    <r>
      <rPr>
        <sz val="11"/>
        <color theme="1"/>
        <rFont val="Aptos Narrow"/>
        <family val="2"/>
        <scheme val="minor"/>
      </rPr>
      <t>in kalo'mte'</t>
    </r>
  </si>
  <si>
    <t>none</t>
  </si>
  <si>
    <t>Ruler 16</t>
  </si>
  <si>
    <t>Ruler 15</t>
  </si>
  <si>
    <t>Ruler 17</t>
  </si>
  <si>
    <t>Ruler 18</t>
  </si>
  <si>
    <t>Ruler 19</t>
  </si>
  <si>
    <t>Ruler 1</t>
  </si>
  <si>
    <t>Chuwen</t>
  </si>
  <si>
    <t>Imix</t>
  </si>
  <si>
    <t>Ruler 2</t>
  </si>
  <si>
    <t>Ruler 3</t>
  </si>
  <si>
    <t>Ruler 4</t>
  </si>
  <si>
    <t>Etz'nab</t>
  </si>
  <si>
    <t>Ruler 5</t>
  </si>
  <si>
    <t>Ajaw</t>
  </si>
  <si>
    <t>Ruler 6</t>
  </si>
  <si>
    <t>Ruler 7</t>
  </si>
  <si>
    <t>Kib</t>
  </si>
  <si>
    <t>Ruler 8</t>
  </si>
  <si>
    <t>Lamat</t>
  </si>
  <si>
    <t>Ruler 9</t>
  </si>
  <si>
    <t>Muluk</t>
  </si>
  <si>
    <t>Ruler 10</t>
  </si>
  <si>
    <t>Ruler 11</t>
  </si>
  <si>
    <t>Kaban</t>
  </si>
  <si>
    <t>Ruler 12</t>
  </si>
  <si>
    <t>Ruler 13</t>
  </si>
  <si>
    <t>Ruler 14</t>
  </si>
  <si>
    <t>Akbal</t>
  </si>
  <si>
    <t>Eb</t>
  </si>
  <si>
    <t>Only 10 of the 20 named days of the Tzolk'in are represented among the 19 accessions collectively recorded on the vases</t>
  </si>
  <si>
    <t>Several of these are repeated, several instances.  The most common are: Imix (4), Kaban (4) Chuwen (3) and Lamat (2).  The remainder only occur once.</t>
  </si>
  <si>
    <t xml:space="preserve">Generally the vases all agree on the named Tzolk'in day on which an accession took place, with one exception wherein the accession of Ruler 1 is given as </t>
  </si>
  <si>
    <t>Imix (on K0999), instead of Chuwen, as in the remaining 18 examples.  This is a clear deviance and may be the result of poor restoration work.</t>
  </si>
  <si>
    <t>seq. in Tzolk'in</t>
  </si>
  <si>
    <t>Day name</t>
  </si>
  <si>
    <t>poss. Haab coef.</t>
  </si>
  <si>
    <t>doc. Haab coef.</t>
  </si>
  <si>
    <t>4, 9, 14, 19</t>
  </si>
  <si>
    <t>6, 11, 16, 1</t>
  </si>
  <si>
    <t>5, 10, 15, 0</t>
  </si>
  <si>
    <t>Archetype</t>
  </si>
  <si>
    <r>
      <t xml:space="preserve">4, 9, 14, </t>
    </r>
    <r>
      <rPr>
        <b/>
        <sz val="11"/>
        <color theme="1"/>
        <rFont val="Aptos Narrow"/>
        <family val="2"/>
        <scheme val="minor"/>
      </rPr>
      <t>19</t>
    </r>
  </si>
  <si>
    <r>
      <t xml:space="preserve">4, 9, </t>
    </r>
    <r>
      <rPr>
        <b/>
        <sz val="11"/>
        <color theme="1"/>
        <rFont val="Aptos Narrow"/>
        <family val="2"/>
        <scheme val="minor"/>
      </rPr>
      <t>14</t>
    </r>
    <r>
      <rPr>
        <sz val="11"/>
        <color theme="1"/>
        <rFont val="Aptos Narrow"/>
        <family val="2"/>
        <scheme val="minor"/>
      </rPr>
      <t>, 19</t>
    </r>
  </si>
  <si>
    <r>
      <t xml:space="preserve">6, 11, 16, </t>
    </r>
    <r>
      <rPr>
        <b/>
        <sz val="11"/>
        <color theme="1"/>
        <rFont val="Aptos Narrow"/>
        <family val="2"/>
        <scheme val="minor"/>
      </rPr>
      <t>1</t>
    </r>
  </si>
  <si>
    <r>
      <rPr>
        <b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, 13, 18, 3</t>
    </r>
  </si>
  <si>
    <t>___</t>
  </si>
  <si>
    <r>
      <t xml:space="preserve">6, </t>
    </r>
    <r>
      <rPr>
        <b/>
        <sz val="11"/>
        <color theme="1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, 16, 1</t>
    </r>
  </si>
  <si>
    <r>
      <t xml:space="preserve">7, 12, 17, </t>
    </r>
    <r>
      <rPr>
        <b/>
        <sz val="11"/>
        <color theme="1"/>
        <rFont val="Aptos Narrow"/>
        <family val="2"/>
        <scheme val="minor"/>
      </rPr>
      <t>2</t>
    </r>
  </si>
  <si>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, 10, 15, 0</t>
    </r>
  </si>
  <si>
    <r>
      <t xml:space="preserve">5, </t>
    </r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, 15, 0</t>
    </r>
  </si>
  <si>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, 11, 16, 1</t>
    </r>
  </si>
  <si>
    <r>
      <t xml:space="preserve">4, </t>
    </r>
    <r>
      <rPr>
        <b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>, 14, 19</t>
    </r>
  </si>
  <si>
    <t xml:space="preserve"> 9/14 </t>
  </si>
  <si>
    <t>1, 6, 11, 16</t>
  </si>
  <si>
    <r>
      <t xml:space="preserve">1, </t>
    </r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, 11, 16</t>
    </r>
  </si>
  <si>
    <r>
      <t xml:space="preserve">1, 6, </t>
    </r>
    <r>
      <rPr>
        <b/>
        <sz val="11"/>
        <color theme="1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, 16</t>
    </r>
  </si>
  <si>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7, 12, 17</t>
    </r>
  </si>
  <si>
    <r>
      <t xml:space="preserve">0, 5, </t>
    </r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, 15</t>
    </r>
  </si>
  <si>
    <t>0, 5, 10, 15</t>
  </si>
  <si>
    <r>
      <t xml:space="preserve">0, </t>
    </r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, 10, 15</t>
    </r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</si>
  <si>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 6, 11, 16</t>
    </r>
  </si>
  <si>
    <r>
      <t xml:space="preserve">3, </t>
    </r>
    <r>
      <rPr>
        <b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, 13, 18</t>
    </r>
  </si>
  <si>
    <t>3 = 4; 3 = 8; 1 = 7; 1 = 9</t>
  </si>
  <si>
    <t>4 = 12; 3 = 11; 1 = 10</t>
  </si>
  <si>
    <t>4 = 19; 1 = 12</t>
  </si>
  <si>
    <t>4 = 12; 2 = 11</t>
  </si>
  <si>
    <t>5 = 2; 1 = 3</t>
  </si>
  <si>
    <t>2 = 8; 2 = 12</t>
  </si>
  <si>
    <t>2 = 12; 1 = 10</t>
  </si>
  <si>
    <t>1 = 19</t>
  </si>
  <si>
    <t>1 = 5</t>
  </si>
  <si>
    <t>1 = 10</t>
  </si>
  <si>
    <t xml:space="preserve"> ___</t>
  </si>
  <si>
    <t>1 = 6</t>
  </si>
  <si>
    <t>1 = 9</t>
  </si>
  <si>
    <t>100 % = 19</t>
  </si>
  <si>
    <t>37% = 4; 37% = 8</t>
  </si>
  <si>
    <t>50% = 12; 37% = 11</t>
  </si>
  <si>
    <t>80% = 19; 20% = 12</t>
  </si>
  <si>
    <t>67% = 12; 33% = 11</t>
  </si>
  <si>
    <t>83% = 2; 17% = 3</t>
  </si>
  <si>
    <t>50% = 8; 50% = 12</t>
  </si>
  <si>
    <t>67% = 12; 33% = 10</t>
  </si>
  <si>
    <r>
      <rPr>
        <b/>
        <sz val="11"/>
        <color theme="1"/>
        <rFont val="Aptos Narrow"/>
        <family val="2"/>
        <scheme val="minor"/>
      </rPr>
      <t>80% = 19</t>
    </r>
    <r>
      <rPr>
        <sz val="11"/>
        <color theme="1"/>
        <rFont val="Aptos Narrow"/>
        <family val="2"/>
        <scheme val="minor"/>
      </rPr>
      <t>; 20% = 12</t>
    </r>
  </si>
  <si>
    <r>
      <rPr>
        <b/>
        <sz val="11"/>
        <color theme="1"/>
        <rFont val="Aptos Narrow"/>
        <family val="2"/>
        <scheme val="minor"/>
      </rPr>
      <t>83% = 2</t>
    </r>
    <r>
      <rPr>
        <sz val="11"/>
        <color theme="1"/>
        <rFont val="Aptos Narrow"/>
        <family val="2"/>
        <scheme val="minor"/>
      </rPr>
      <t>; 17% = 3</t>
    </r>
  </si>
  <si>
    <t>2, 7, 12, 17</t>
  </si>
  <si>
    <t>3, 8, 13, 18</t>
  </si>
  <si>
    <t>coef</t>
  </si>
  <si>
    <t>times</t>
  </si>
  <si>
    <t>%</t>
  </si>
  <si>
    <t>day name</t>
  </si>
  <si>
    <t>3 w/ lateral</t>
  </si>
  <si>
    <t xml:space="preserve"> 7/10</t>
  </si>
  <si>
    <t xml:space="preserve"> 12/13</t>
  </si>
  <si>
    <t>allograph of Kaban</t>
  </si>
  <si>
    <t>symmetric</t>
  </si>
  <si>
    <t>asymmetric</t>
  </si>
  <si>
    <t>12 = 19</t>
  </si>
  <si>
    <t>6 = 12; 4 = 14; 1 = 10</t>
  </si>
  <si>
    <t>6 = 12; 5 = 7</t>
  </si>
  <si>
    <t>7 = 1; 4 = 7; 1 = 9</t>
  </si>
  <si>
    <t>50% = 12; 36% = 14</t>
  </si>
  <si>
    <t>50% = 12; 42% = 7</t>
  </si>
  <si>
    <t>58% = 1; 33% = 7; 9% = 9</t>
  </si>
  <si>
    <r>
      <rPr>
        <b/>
        <sz val="11"/>
        <color theme="1"/>
        <rFont val="Aptos Narrow"/>
        <family val="2"/>
        <scheme val="minor"/>
      </rPr>
      <t>58% = 1</t>
    </r>
    <r>
      <rPr>
        <sz val="11"/>
        <color theme="1"/>
        <rFont val="Aptos Narrow"/>
        <family val="2"/>
        <scheme val="minor"/>
      </rPr>
      <t>; 33% = 7; 9% = 9</t>
    </r>
  </si>
  <si>
    <t>12/13#</t>
  </si>
  <si>
    <t>[IK']SIH</t>
  </si>
  <si>
    <t>[IK']SIH-ma</t>
  </si>
  <si>
    <t>Ø</t>
  </si>
  <si>
    <t xml:space="preserve"> Ø</t>
  </si>
  <si>
    <t>No (error 4)</t>
  </si>
  <si>
    <t>means deletion, suppression or absence of trait</t>
  </si>
  <si>
    <r>
      <t>nominal with</t>
    </r>
    <r>
      <rPr>
        <b/>
        <sz val="11"/>
        <color theme="1"/>
        <rFont val="Aptos Narrow"/>
        <family val="2"/>
        <scheme val="minor"/>
      </rPr>
      <t xml:space="preserve"> la</t>
    </r>
    <r>
      <rPr>
        <sz val="11"/>
        <color theme="1"/>
        <rFont val="Aptos Narrow"/>
        <family val="2"/>
        <scheme val="minor"/>
      </rPr>
      <t xml:space="preserve"> phon. compl.</t>
    </r>
  </si>
  <si>
    <t xml:space="preserve"> 11/12</t>
  </si>
  <si>
    <t>MintMus1983.172.40</t>
  </si>
  <si>
    <r>
      <t xml:space="preserve">geometric form for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?</t>
    </r>
  </si>
  <si>
    <t>coef. of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</si>
</sst>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" fontId="0" fillId="0" borderId="0" xfId="0" applyNumberFormat="1"/>
    <xf numFmtId="0" fontId="0" fillId="0" borderId="0" xfId="0" applyAlignment="1">
      <alignment horizontal="center" textRotation="45"/>
    </xf>
    <xf numFmtId="0" fontId="0" fillId="0" borderId="0" xfId="0" applyAlignment="1">
      <alignment textRotation="45"/>
    </xf>
    <xf numFmtId="0" fontId="0" fillId="2" borderId="0" xfId="0" applyFill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3" fillId="2" borderId="0" xfId="0" applyFont="1" applyFill="1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17" fontId="0" fillId="3" borderId="0" xfId="0" applyNumberFormat="1" applyFill="1" applyAlignment="1">
      <alignment horizontal="left"/>
    </xf>
    <xf numFmtId="0" fontId="0" fillId="0" borderId="0" xfId="0" applyFill="1"/>
    <xf numFmtId="0" fontId="1" fillId="2" borderId="0" xfId="0" applyFont="1" applyFill="1"/>
    <xf numFmtId="0" fontId="0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0.11688999729126388"/>
          <c:y val="0.12696621308915637"/>
          <c:w val="0.79770075003969698"/>
          <c:h val="0.694622919163867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CRs!$Y$7:$Y$21</c:f>
              <c:numCache>
                <c:formatCode>General</c:formatCode>
                <c:ptCount val="1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</c:numCache>
            </c:numRef>
          </c:cat>
          <c:val>
            <c:numRef>
              <c:f>CRs!$Z$7:$Z$21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7-40B3-9362-5F2F09DC8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72976"/>
        <c:axId val="54373456"/>
      </c:barChart>
      <c:catAx>
        <c:axId val="5437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4373456"/>
        <c:crosses val="autoZero"/>
        <c:auto val="1"/>
        <c:lblAlgn val="ctr"/>
        <c:lblOffset val="100"/>
        <c:noMultiLvlLbl val="0"/>
      </c:catAx>
      <c:valAx>
        <c:axId val="5437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437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600075</xdr:colOff>
      <xdr:row>2</xdr:row>
      <xdr:rowOff>814387</xdr:rowOff>
    </xdr:from>
    <xdr:to>
      <xdr:col>35</xdr:col>
      <xdr:colOff>466725</xdr:colOff>
      <xdr:row>23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83A19F-89E2-5F36-4281-2EBB445B1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0B1C-F5A7-4CCB-B084-F7782A564214}">
  <dimension ref="A1:Q78"/>
  <sheetViews>
    <sheetView tabSelected="1" workbookViewId="0">
      <pane ySplit="1" topLeftCell="A2" activePane="bottomLeft" state="frozen"/>
      <selection activeCell="C1" sqref="C1"/>
      <selection pane="bottomLeft" activeCell="Q1" sqref="Q1"/>
    </sheetView>
  </sheetViews>
  <sheetFormatPr defaultRowHeight="14.4" x14ac:dyDescent="0.3"/>
  <cols>
    <col min="2" max="2" width="27.5546875" bestFit="1" customWidth="1"/>
    <col min="3" max="3" width="11.5546875" customWidth="1"/>
    <col min="4" max="4" width="11" customWidth="1"/>
    <col min="5" max="15" width="11" style="3" customWidth="1"/>
    <col min="16" max="16" width="15" style="3" bestFit="1" customWidth="1"/>
  </cols>
  <sheetData>
    <row r="1" spans="1:16" x14ac:dyDescent="0.3">
      <c r="A1" s="6" t="s">
        <v>25</v>
      </c>
      <c r="B1" s="6" t="s">
        <v>24</v>
      </c>
      <c r="C1" s="6" t="s">
        <v>228</v>
      </c>
      <c r="D1" s="6" t="s">
        <v>99</v>
      </c>
      <c r="E1" s="7">
        <v>995</v>
      </c>
      <c r="F1" s="7">
        <v>999</v>
      </c>
      <c r="G1" s="7">
        <v>1005</v>
      </c>
      <c r="H1" s="7">
        <v>1302</v>
      </c>
      <c r="I1" s="7">
        <v>1334</v>
      </c>
      <c r="J1" s="7">
        <v>1344</v>
      </c>
      <c r="K1" s="7">
        <v>1371</v>
      </c>
      <c r="L1" s="7">
        <v>1372</v>
      </c>
      <c r="M1" s="7">
        <v>2094</v>
      </c>
      <c r="N1" s="7">
        <v>5863</v>
      </c>
      <c r="O1" s="7">
        <v>6751</v>
      </c>
      <c r="P1" s="19" t="s">
        <v>23</v>
      </c>
    </row>
    <row r="2" spans="1:16" x14ac:dyDescent="0.3">
      <c r="A2" s="14" t="s">
        <v>10</v>
      </c>
      <c r="B2" s="14" t="s">
        <v>0</v>
      </c>
      <c r="C2" s="14" t="s">
        <v>2</v>
      </c>
      <c r="D2" s="14" t="s">
        <v>2</v>
      </c>
      <c r="E2" s="5" t="s">
        <v>1</v>
      </c>
      <c r="F2" s="5" t="s">
        <v>1</v>
      </c>
      <c r="G2" s="5" t="s">
        <v>1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1</v>
      </c>
      <c r="N2" s="5" t="s">
        <v>1</v>
      </c>
      <c r="O2" s="5" t="s">
        <v>3</v>
      </c>
      <c r="P2" s="20" t="s">
        <v>2</v>
      </c>
    </row>
    <row r="3" spans="1:16" x14ac:dyDescent="0.3">
      <c r="A3" s="14" t="s">
        <v>10</v>
      </c>
      <c r="B3" s="14" t="s">
        <v>17</v>
      </c>
      <c r="C3" s="24" t="s">
        <v>4</v>
      </c>
      <c r="D3" s="15" t="s">
        <v>4</v>
      </c>
      <c r="E3" s="16" t="s">
        <v>4</v>
      </c>
      <c r="F3" s="8" t="s">
        <v>5</v>
      </c>
      <c r="G3" s="16" t="s">
        <v>6</v>
      </c>
      <c r="H3" s="8" t="s">
        <v>5</v>
      </c>
      <c r="I3" s="16" t="s">
        <v>4</v>
      </c>
      <c r="J3" s="16" t="s">
        <v>4</v>
      </c>
      <c r="K3" s="16" t="s">
        <v>4</v>
      </c>
      <c r="L3" s="16" t="s">
        <v>4</v>
      </c>
      <c r="M3" s="16" t="s">
        <v>6</v>
      </c>
      <c r="N3" s="16" t="s">
        <v>6</v>
      </c>
      <c r="O3" s="16" t="s">
        <v>4</v>
      </c>
      <c r="P3" s="21" t="s">
        <v>4</v>
      </c>
    </row>
    <row r="4" spans="1:16" x14ac:dyDescent="0.3">
      <c r="A4" s="14" t="s">
        <v>10</v>
      </c>
      <c r="B4" s="14" t="s">
        <v>230</v>
      </c>
      <c r="C4" s="25">
        <v>14</v>
      </c>
      <c r="D4" s="8">
        <v>19</v>
      </c>
      <c r="E4" s="8">
        <v>19</v>
      </c>
      <c r="F4" s="8">
        <v>19</v>
      </c>
      <c r="G4" s="8">
        <v>19</v>
      </c>
      <c r="H4" s="8">
        <v>19</v>
      </c>
      <c r="I4" s="8">
        <v>19</v>
      </c>
      <c r="J4" s="8">
        <v>19</v>
      </c>
      <c r="K4" s="8">
        <v>19</v>
      </c>
      <c r="L4" s="8">
        <v>19</v>
      </c>
      <c r="M4" s="8">
        <v>19</v>
      </c>
      <c r="N4" s="8">
        <v>19</v>
      </c>
      <c r="O4" s="8">
        <v>19</v>
      </c>
      <c r="P4" s="21">
        <v>19</v>
      </c>
    </row>
    <row r="5" spans="1:16" x14ac:dyDescent="0.3">
      <c r="A5" s="14" t="s">
        <v>10</v>
      </c>
      <c r="B5" s="14" t="s">
        <v>7</v>
      </c>
      <c r="C5" s="24" t="s">
        <v>9</v>
      </c>
      <c r="D5" s="17" t="s">
        <v>5</v>
      </c>
      <c r="E5" s="16" t="s">
        <v>8</v>
      </c>
      <c r="F5" s="16" t="s">
        <v>9</v>
      </c>
      <c r="G5" s="16" t="s">
        <v>9</v>
      </c>
      <c r="H5" s="16" t="s">
        <v>8</v>
      </c>
      <c r="I5" s="16" t="s">
        <v>5</v>
      </c>
      <c r="J5" s="16" t="s">
        <v>8</v>
      </c>
      <c r="K5" s="16" t="s">
        <v>6</v>
      </c>
      <c r="L5" s="8" t="s">
        <v>222</v>
      </c>
      <c r="M5" s="16" t="s">
        <v>9</v>
      </c>
      <c r="N5" s="16" t="s">
        <v>9</v>
      </c>
      <c r="O5" s="16" t="s">
        <v>6</v>
      </c>
      <c r="P5" s="20" t="s">
        <v>8</v>
      </c>
    </row>
    <row r="6" spans="1:16" x14ac:dyDescent="0.3">
      <c r="A6" s="14" t="s">
        <v>10</v>
      </c>
      <c r="B6" s="14" t="s">
        <v>15</v>
      </c>
      <c r="C6" s="14" t="s">
        <v>12</v>
      </c>
      <c r="D6" s="14" t="s">
        <v>13</v>
      </c>
      <c r="E6" s="5" t="s">
        <v>11</v>
      </c>
      <c r="F6" s="5" t="s">
        <v>12</v>
      </c>
      <c r="G6" s="5" t="s">
        <v>12</v>
      </c>
      <c r="H6" s="5">
        <v>2</v>
      </c>
      <c r="I6" s="5" t="s">
        <v>12</v>
      </c>
      <c r="J6" s="5" t="s">
        <v>13</v>
      </c>
      <c r="K6" s="5">
        <v>3</v>
      </c>
      <c r="L6" s="5" t="s">
        <v>13</v>
      </c>
      <c r="M6" s="5" t="s">
        <v>14</v>
      </c>
      <c r="N6" s="5" t="s">
        <v>5</v>
      </c>
      <c r="O6" s="5">
        <v>3</v>
      </c>
      <c r="P6" s="20" t="s">
        <v>205</v>
      </c>
    </row>
    <row r="7" spans="1:16" x14ac:dyDescent="0.3">
      <c r="A7" s="14" t="s">
        <v>10</v>
      </c>
      <c r="B7" s="14" t="s">
        <v>226</v>
      </c>
      <c r="C7" s="14" t="s">
        <v>222</v>
      </c>
      <c r="D7" s="14" t="s">
        <v>5</v>
      </c>
      <c r="E7" s="5" t="s">
        <v>222</v>
      </c>
      <c r="F7" s="5" t="s">
        <v>222</v>
      </c>
      <c r="G7" s="5" t="s">
        <v>222</v>
      </c>
      <c r="H7" s="5" t="s">
        <v>222</v>
      </c>
      <c r="I7" s="18" t="s">
        <v>8</v>
      </c>
      <c r="J7" s="5" t="s">
        <v>222</v>
      </c>
      <c r="K7" s="18" t="s">
        <v>8</v>
      </c>
      <c r="L7" s="5" t="s">
        <v>222</v>
      </c>
      <c r="M7" s="18" t="s">
        <v>8</v>
      </c>
      <c r="N7" s="18" t="s">
        <v>8</v>
      </c>
      <c r="O7" s="5" t="s">
        <v>222</v>
      </c>
      <c r="P7" s="20" t="s">
        <v>8</v>
      </c>
    </row>
    <row r="8" spans="1:16" x14ac:dyDescent="0.3">
      <c r="A8" s="14" t="s">
        <v>10</v>
      </c>
      <c r="B8" s="14" t="s">
        <v>16</v>
      </c>
      <c r="C8" s="24" t="s">
        <v>8</v>
      </c>
      <c r="D8" s="14" t="s">
        <v>5</v>
      </c>
      <c r="E8" s="5" t="s">
        <v>222</v>
      </c>
      <c r="F8" s="5" t="s">
        <v>222</v>
      </c>
      <c r="G8" s="5" t="s">
        <v>222</v>
      </c>
      <c r="H8" s="5" t="s">
        <v>222</v>
      </c>
      <c r="I8" s="5" t="s">
        <v>5</v>
      </c>
      <c r="J8" s="18" t="s">
        <v>8</v>
      </c>
      <c r="K8" s="18" t="s">
        <v>8</v>
      </c>
      <c r="L8" s="5" t="s">
        <v>222</v>
      </c>
      <c r="M8" s="5" t="s">
        <v>222</v>
      </c>
      <c r="N8" s="5" t="s">
        <v>222</v>
      </c>
      <c r="O8" s="5" t="s">
        <v>222</v>
      </c>
      <c r="P8" s="20" t="s">
        <v>222</v>
      </c>
    </row>
    <row r="9" spans="1:16" x14ac:dyDescent="0.3">
      <c r="A9" t="s">
        <v>18</v>
      </c>
      <c r="B9" t="s">
        <v>19</v>
      </c>
      <c r="C9" s="3">
        <v>10</v>
      </c>
      <c r="D9" t="s">
        <v>5</v>
      </c>
      <c r="E9" s="3" t="s">
        <v>1</v>
      </c>
      <c r="F9" s="3" t="s">
        <v>1</v>
      </c>
      <c r="G9" s="3" t="s">
        <v>1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 t="s">
        <v>1</v>
      </c>
      <c r="N9" s="3" t="s">
        <v>2</v>
      </c>
      <c r="O9" s="3">
        <v>10</v>
      </c>
      <c r="P9" s="20" t="s">
        <v>206</v>
      </c>
    </row>
    <row r="10" spans="1:16" x14ac:dyDescent="0.3">
      <c r="A10" t="s">
        <v>18</v>
      </c>
      <c r="B10" t="s">
        <v>20</v>
      </c>
      <c r="C10" t="s">
        <v>21</v>
      </c>
      <c r="D10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22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22</v>
      </c>
      <c r="P10" s="20" t="s">
        <v>21</v>
      </c>
    </row>
    <row r="11" spans="1:16" x14ac:dyDescent="0.3">
      <c r="A11" t="s">
        <v>18</v>
      </c>
      <c r="B11" t="s">
        <v>26</v>
      </c>
      <c r="C11" s="3">
        <v>14</v>
      </c>
      <c r="D11" t="s">
        <v>1</v>
      </c>
      <c r="E11" s="3" t="s">
        <v>1</v>
      </c>
      <c r="F11" s="3" t="s">
        <v>1</v>
      </c>
      <c r="G11" s="3" t="s">
        <v>1</v>
      </c>
      <c r="H11" s="3">
        <v>14</v>
      </c>
      <c r="I11" s="3" t="s">
        <v>5</v>
      </c>
      <c r="J11" s="3">
        <v>14</v>
      </c>
      <c r="K11" s="3">
        <v>14</v>
      </c>
      <c r="L11" s="3">
        <v>14</v>
      </c>
      <c r="M11" s="3" t="s">
        <v>1</v>
      </c>
      <c r="N11" s="3" t="s">
        <v>1</v>
      </c>
      <c r="O11" s="3">
        <v>10</v>
      </c>
      <c r="P11" s="20">
        <v>14</v>
      </c>
    </row>
    <row r="12" spans="1:16" x14ac:dyDescent="0.3">
      <c r="A12" t="s">
        <v>18</v>
      </c>
      <c r="B12" t="s">
        <v>27</v>
      </c>
      <c r="C12" t="s">
        <v>21</v>
      </c>
      <c r="D12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5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22</v>
      </c>
      <c r="P12" s="20" t="s">
        <v>21</v>
      </c>
    </row>
    <row r="13" spans="1:16" x14ac:dyDescent="0.3">
      <c r="A13" t="s">
        <v>18</v>
      </c>
      <c r="B13" t="s">
        <v>7</v>
      </c>
      <c r="C13" t="s">
        <v>222</v>
      </c>
      <c r="D13" s="1" t="s">
        <v>8</v>
      </c>
      <c r="E13" s="4" t="s">
        <v>8</v>
      </c>
      <c r="F13" s="4" t="s">
        <v>9</v>
      </c>
      <c r="G13" s="4" t="s">
        <v>9</v>
      </c>
      <c r="H13" s="4" t="s">
        <v>8</v>
      </c>
      <c r="I13" s="3" t="s">
        <v>5</v>
      </c>
      <c r="J13" s="3" t="s">
        <v>5</v>
      </c>
      <c r="K13" s="4" t="s">
        <v>6</v>
      </c>
      <c r="L13" s="4" t="s">
        <v>8</v>
      </c>
      <c r="M13" s="4" t="s">
        <v>9</v>
      </c>
      <c r="N13" s="4" t="s">
        <v>9</v>
      </c>
      <c r="O13" s="4" t="s">
        <v>8</v>
      </c>
      <c r="P13" s="20" t="s">
        <v>8</v>
      </c>
    </row>
    <row r="14" spans="1:16" x14ac:dyDescent="0.3">
      <c r="A14" t="s">
        <v>18</v>
      </c>
      <c r="B14" t="s">
        <v>32</v>
      </c>
      <c r="C14" t="s">
        <v>28</v>
      </c>
      <c r="D14" t="s">
        <v>28</v>
      </c>
      <c r="E14" s="3" t="s">
        <v>28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29</v>
      </c>
      <c r="P14" s="20" t="s">
        <v>28</v>
      </c>
    </row>
    <row r="15" spans="1:16" x14ac:dyDescent="0.3">
      <c r="A15" t="s">
        <v>18</v>
      </c>
      <c r="B15" t="s">
        <v>111</v>
      </c>
      <c r="C15" t="s">
        <v>43</v>
      </c>
      <c r="D15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5</v>
      </c>
      <c r="J15" s="3" t="s">
        <v>43</v>
      </c>
      <c r="K15" s="3" t="s">
        <v>43</v>
      </c>
      <c r="L15" s="3" t="s">
        <v>43</v>
      </c>
      <c r="M15" s="3" t="s">
        <v>43</v>
      </c>
      <c r="N15" s="3" t="s">
        <v>5</v>
      </c>
      <c r="O15" s="3" t="s">
        <v>44</v>
      </c>
      <c r="P15" s="20" t="s">
        <v>43</v>
      </c>
    </row>
    <row r="16" spans="1:16" x14ac:dyDescent="0.3">
      <c r="A16" t="s">
        <v>18</v>
      </c>
      <c r="B16" t="s">
        <v>30</v>
      </c>
      <c r="C16" t="s">
        <v>29</v>
      </c>
      <c r="D16" t="s">
        <v>28</v>
      </c>
      <c r="E16" s="3" t="s">
        <v>28</v>
      </c>
      <c r="F16" s="3" t="s">
        <v>28</v>
      </c>
      <c r="G16" s="3" t="s">
        <v>28</v>
      </c>
      <c r="H16" s="3" t="s">
        <v>28</v>
      </c>
      <c r="I16" s="3" t="s">
        <v>29</v>
      </c>
      <c r="J16" s="3" t="s">
        <v>28</v>
      </c>
      <c r="K16" s="3" t="s">
        <v>28</v>
      </c>
      <c r="L16" s="3" t="s">
        <v>28</v>
      </c>
      <c r="M16" s="3" t="s">
        <v>29</v>
      </c>
      <c r="N16" s="3" t="s">
        <v>28</v>
      </c>
      <c r="O16" s="3" t="s">
        <v>28</v>
      </c>
      <c r="P16" s="20" t="s">
        <v>28</v>
      </c>
    </row>
    <row r="17" spans="1:16" x14ac:dyDescent="0.3">
      <c r="A17" t="s">
        <v>18</v>
      </c>
      <c r="B17" t="s">
        <v>31</v>
      </c>
      <c r="C17" t="s">
        <v>222</v>
      </c>
      <c r="D17" t="s">
        <v>28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222</v>
      </c>
      <c r="J17" s="3" t="s">
        <v>28</v>
      </c>
      <c r="K17" s="3" t="s">
        <v>28</v>
      </c>
      <c r="L17" s="3" t="s">
        <v>28</v>
      </c>
      <c r="M17" s="3" t="s">
        <v>222</v>
      </c>
      <c r="N17" s="3" t="s">
        <v>28</v>
      </c>
      <c r="O17" s="3" t="s">
        <v>29</v>
      </c>
      <c r="P17" s="20" t="s">
        <v>28</v>
      </c>
    </row>
    <row r="18" spans="1:16" x14ac:dyDescent="0.3">
      <c r="A18" t="s">
        <v>18</v>
      </c>
      <c r="B18" t="s">
        <v>112</v>
      </c>
      <c r="C18" t="s">
        <v>222</v>
      </c>
      <c r="D18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222</v>
      </c>
      <c r="J18" s="3" t="s">
        <v>5</v>
      </c>
      <c r="K18" s="3" t="s">
        <v>43</v>
      </c>
      <c r="L18" s="3" t="s">
        <v>43</v>
      </c>
      <c r="M18" s="3" t="s">
        <v>222</v>
      </c>
      <c r="N18" s="3" t="s">
        <v>113</v>
      </c>
      <c r="O18" s="3" t="s">
        <v>44</v>
      </c>
      <c r="P18" s="20" t="s">
        <v>43</v>
      </c>
    </row>
    <row r="19" spans="1:16" x14ac:dyDescent="0.3">
      <c r="A19" s="14" t="s">
        <v>33</v>
      </c>
      <c r="B19" s="14" t="s">
        <v>38</v>
      </c>
      <c r="C19" s="14" t="s">
        <v>28</v>
      </c>
      <c r="D19" s="14" t="s">
        <v>28</v>
      </c>
      <c r="E19" s="5" t="s">
        <v>28</v>
      </c>
      <c r="F19" s="5" t="s">
        <v>28</v>
      </c>
      <c r="G19" s="5" t="s">
        <v>28</v>
      </c>
      <c r="H19" s="5" t="s">
        <v>28</v>
      </c>
      <c r="I19" s="5" t="s">
        <v>5</v>
      </c>
      <c r="J19" s="5" t="s">
        <v>5</v>
      </c>
      <c r="K19" s="5" t="s">
        <v>28</v>
      </c>
      <c r="L19" s="5" t="s">
        <v>28</v>
      </c>
      <c r="M19" s="5" t="s">
        <v>222</v>
      </c>
      <c r="N19" s="5" t="s">
        <v>28</v>
      </c>
      <c r="O19" s="5" t="s">
        <v>28</v>
      </c>
      <c r="P19" s="20" t="s">
        <v>28</v>
      </c>
    </row>
    <row r="20" spans="1:16" x14ac:dyDescent="0.3">
      <c r="A20" s="14" t="s">
        <v>33</v>
      </c>
      <c r="B20" s="14" t="s">
        <v>34</v>
      </c>
      <c r="C20" s="14" t="s">
        <v>2</v>
      </c>
      <c r="D20" s="14" t="s">
        <v>1</v>
      </c>
      <c r="E20" s="5" t="s">
        <v>1</v>
      </c>
      <c r="F20" s="5" t="s">
        <v>1</v>
      </c>
      <c r="G20" s="5" t="s">
        <v>1</v>
      </c>
      <c r="H20" s="5" t="s">
        <v>2</v>
      </c>
      <c r="I20" s="5" t="s">
        <v>2</v>
      </c>
      <c r="J20" s="5" t="s">
        <v>5</v>
      </c>
      <c r="K20" s="5" t="s">
        <v>2</v>
      </c>
      <c r="L20" s="5" t="s">
        <v>2</v>
      </c>
      <c r="M20" s="5" t="s">
        <v>1</v>
      </c>
      <c r="N20" s="5" t="s">
        <v>1</v>
      </c>
      <c r="O20" s="5" t="s">
        <v>2</v>
      </c>
      <c r="P20" s="20">
        <v>9</v>
      </c>
    </row>
    <row r="21" spans="1:16" x14ac:dyDescent="0.3">
      <c r="A21" s="14" t="s">
        <v>33</v>
      </c>
      <c r="B21" s="14" t="s">
        <v>35</v>
      </c>
      <c r="C21" s="14" t="s">
        <v>29</v>
      </c>
      <c r="D21" s="14" t="s">
        <v>29</v>
      </c>
      <c r="E21" s="5" t="s">
        <v>29</v>
      </c>
      <c r="F21" s="5" t="s">
        <v>29</v>
      </c>
      <c r="G21" s="5" t="s">
        <v>29</v>
      </c>
      <c r="H21" s="5" t="s">
        <v>29</v>
      </c>
      <c r="I21" s="5" t="s">
        <v>28</v>
      </c>
      <c r="J21" s="5" t="s">
        <v>29</v>
      </c>
      <c r="K21" s="5" t="s">
        <v>28</v>
      </c>
      <c r="L21" s="5" t="s">
        <v>29</v>
      </c>
      <c r="M21" s="5" t="s">
        <v>29</v>
      </c>
      <c r="N21" s="5" t="s">
        <v>29</v>
      </c>
      <c r="O21" s="5" t="s">
        <v>29</v>
      </c>
      <c r="P21" s="20" t="s">
        <v>29</v>
      </c>
    </row>
    <row r="22" spans="1:16" x14ac:dyDescent="0.3">
      <c r="A22" s="14" t="s">
        <v>33</v>
      </c>
      <c r="B22" s="14" t="s">
        <v>7</v>
      </c>
      <c r="C22" s="24" t="s">
        <v>6</v>
      </c>
      <c r="D22" s="24" t="s">
        <v>8</v>
      </c>
      <c r="E22" s="18" t="s">
        <v>8</v>
      </c>
      <c r="F22" s="18" t="s">
        <v>9</v>
      </c>
      <c r="G22" s="18" t="s">
        <v>9</v>
      </c>
      <c r="H22" s="18" t="s">
        <v>8</v>
      </c>
      <c r="I22" s="5" t="s">
        <v>222</v>
      </c>
      <c r="J22" s="18" t="s">
        <v>8</v>
      </c>
      <c r="K22" s="5" t="s">
        <v>222</v>
      </c>
      <c r="L22" s="18" t="s">
        <v>8</v>
      </c>
      <c r="M22" s="18" t="s">
        <v>9</v>
      </c>
      <c r="N22" s="18" t="s">
        <v>9</v>
      </c>
      <c r="O22" s="18" t="s">
        <v>6</v>
      </c>
      <c r="P22" s="20" t="s">
        <v>8</v>
      </c>
    </row>
    <row r="23" spans="1:16" x14ac:dyDescent="0.3">
      <c r="A23" s="14" t="s">
        <v>33</v>
      </c>
      <c r="B23" s="14" t="s">
        <v>36</v>
      </c>
      <c r="C23" s="14" t="s">
        <v>29</v>
      </c>
      <c r="D23" s="17" t="s">
        <v>28</v>
      </c>
      <c r="E23" s="5" t="s">
        <v>29</v>
      </c>
      <c r="F23" s="5" t="s">
        <v>29</v>
      </c>
      <c r="G23" s="5" t="s">
        <v>29</v>
      </c>
      <c r="H23" s="8" t="s">
        <v>28</v>
      </c>
      <c r="I23" s="8" t="s">
        <v>28</v>
      </c>
      <c r="J23" s="8" t="s">
        <v>28</v>
      </c>
      <c r="K23" s="8" t="s">
        <v>29</v>
      </c>
      <c r="L23" s="8" t="s">
        <v>28</v>
      </c>
      <c r="M23" s="8" t="s">
        <v>29</v>
      </c>
      <c r="N23" s="8" t="s">
        <v>29</v>
      </c>
      <c r="O23" s="8" t="s">
        <v>29</v>
      </c>
      <c r="P23" s="20" t="s">
        <v>28</v>
      </c>
    </row>
    <row r="24" spans="1:16" x14ac:dyDescent="0.3">
      <c r="A24" t="s">
        <v>37</v>
      </c>
      <c r="B24" t="s">
        <v>229</v>
      </c>
      <c r="C24" s="23" t="s">
        <v>28</v>
      </c>
      <c r="D24" t="s">
        <v>28</v>
      </c>
      <c r="E24" s="3" t="s">
        <v>28</v>
      </c>
      <c r="F24" s="3" t="s">
        <v>28</v>
      </c>
      <c r="G24" s="3" t="s">
        <v>28</v>
      </c>
      <c r="H24" s="3" t="s">
        <v>28</v>
      </c>
      <c r="I24" s="3" t="s">
        <v>28</v>
      </c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224</v>
      </c>
      <c r="P24" s="20" t="s">
        <v>28</v>
      </c>
    </row>
    <row r="25" spans="1:16" x14ac:dyDescent="0.3">
      <c r="A25" t="s">
        <v>37</v>
      </c>
      <c r="B25" t="s">
        <v>39</v>
      </c>
      <c r="D25" t="s">
        <v>40</v>
      </c>
      <c r="E25" s="3">
        <v>9</v>
      </c>
      <c r="F25" s="3" t="s">
        <v>2</v>
      </c>
      <c r="G25" s="3" t="s">
        <v>2</v>
      </c>
      <c r="H25" s="3" t="s">
        <v>40</v>
      </c>
      <c r="I25" s="3" t="s">
        <v>40</v>
      </c>
      <c r="J25" s="3" t="s">
        <v>40</v>
      </c>
      <c r="K25" s="3" t="s">
        <v>40</v>
      </c>
      <c r="L25" s="3" t="s">
        <v>40</v>
      </c>
      <c r="M25" s="3" t="s">
        <v>2</v>
      </c>
      <c r="N25" s="3" t="s">
        <v>2</v>
      </c>
      <c r="O25" s="3" t="s">
        <v>40</v>
      </c>
      <c r="P25" s="20">
        <v>1</v>
      </c>
    </row>
    <row r="26" spans="1:16" x14ac:dyDescent="0.3">
      <c r="A26" t="s">
        <v>37</v>
      </c>
      <c r="B26" t="s">
        <v>41</v>
      </c>
      <c r="D26" t="s">
        <v>28</v>
      </c>
      <c r="E26" s="3" t="s">
        <v>28</v>
      </c>
      <c r="F26" s="3" t="s">
        <v>5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20" t="s">
        <v>28</v>
      </c>
    </row>
    <row r="27" spans="1:16" x14ac:dyDescent="0.3">
      <c r="A27" t="s">
        <v>37</v>
      </c>
      <c r="B27" t="s">
        <v>42</v>
      </c>
      <c r="D27" t="s">
        <v>43</v>
      </c>
      <c r="E27" s="3" t="s">
        <v>43</v>
      </c>
      <c r="F27" s="3" t="s">
        <v>5</v>
      </c>
      <c r="G27" s="3" t="s">
        <v>43</v>
      </c>
      <c r="H27" s="3" t="s">
        <v>43</v>
      </c>
      <c r="I27" s="3" t="s">
        <v>43</v>
      </c>
      <c r="J27" s="3" t="s">
        <v>43</v>
      </c>
      <c r="K27" s="3" t="s">
        <v>43</v>
      </c>
      <c r="L27" s="3" t="s">
        <v>43</v>
      </c>
      <c r="M27" s="3" t="s">
        <v>44</v>
      </c>
      <c r="N27" s="3" t="s">
        <v>44</v>
      </c>
      <c r="O27" s="3" t="s">
        <v>43</v>
      </c>
      <c r="P27" s="20" t="s">
        <v>43</v>
      </c>
    </row>
    <row r="28" spans="1:16" x14ac:dyDescent="0.3">
      <c r="A28" t="s">
        <v>37</v>
      </c>
      <c r="B28" t="s">
        <v>7</v>
      </c>
      <c r="D28" s="1" t="s">
        <v>8</v>
      </c>
      <c r="E28" s="4" t="s">
        <v>8</v>
      </c>
      <c r="F28" s="4" t="s">
        <v>9</v>
      </c>
      <c r="G28" s="4" t="s">
        <v>9</v>
      </c>
      <c r="H28" s="4" t="s">
        <v>8</v>
      </c>
      <c r="I28" s="4" t="s">
        <v>8</v>
      </c>
      <c r="J28" s="4" t="s">
        <v>8</v>
      </c>
      <c r="K28" s="4" t="s">
        <v>8</v>
      </c>
      <c r="L28" s="4" t="s">
        <v>8</v>
      </c>
      <c r="M28" s="4" t="s">
        <v>9</v>
      </c>
      <c r="N28" s="4" t="s">
        <v>9</v>
      </c>
      <c r="O28" s="4" t="s">
        <v>6</v>
      </c>
      <c r="P28" s="20" t="s">
        <v>8</v>
      </c>
    </row>
    <row r="29" spans="1:16" x14ac:dyDescent="0.3">
      <c r="A29" t="s">
        <v>37</v>
      </c>
      <c r="B29" t="s">
        <v>45</v>
      </c>
      <c r="D29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22</v>
      </c>
      <c r="O29" s="3" t="s">
        <v>21</v>
      </c>
      <c r="P29" s="20" t="s">
        <v>21</v>
      </c>
    </row>
    <row r="30" spans="1:16" x14ac:dyDescent="0.3">
      <c r="A30" t="s">
        <v>37</v>
      </c>
      <c r="B30" t="s">
        <v>46</v>
      </c>
      <c r="D30" t="s">
        <v>47</v>
      </c>
      <c r="E30" s="3" t="s">
        <v>47</v>
      </c>
      <c r="F30" s="3" t="s">
        <v>5</v>
      </c>
      <c r="G30" s="3" t="s">
        <v>5</v>
      </c>
      <c r="H30" s="3" t="s">
        <v>5</v>
      </c>
      <c r="I30" s="3" t="s">
        <v>47</v>
      </c>
      <c r="J30" s="3" t="s">
        <v>47</v>
      </c>
      <c r="K30" s="3" t="s">
        <v>48</v>
      </c>
      <c r="L30" s="3" t="s">
        <v>47</v>
      </c>
      <c r="M30" s="3" t="s">
        <v>47</v>
      </c>
      <c r="N30" s="3" t="s">
        <v>47</v>
      </c>
      <c r="O30" s="3" t="s">
        <v>47</v>
      </c>
      <c r="P30" s="20" t="s">
        <v>47</v>
      </c>
    </row>
    <row r="31" spans="1:16" x14ac:dyDescent="0.3">
      <c r="A31" t="s">
        <v>37</v>
      </c>
      <c r="B31" t="s">
        <v>49</v>
      </c>
      <c r="D31" s="3" t="s">
        <v>222</v>
      </c>
      <c r="E31" s="4" t="s">
        <v>8</v>
      </c>
      <c r="F31" s="3" t="s">
        <v>222</v>
      </c>
      <c r="G31" s="3" t="s">
        <v>5</v>
      </c>
      <c r="H31" s="3" t="s">
        <v>5</v>
      </c>
      <c r="I31" s="4" t="s">
        <v>8</v>
      </c>
      <c r="J31" s="3" t="s">
        <v>222</v>
      </c>
      <c r="K31" s="4" t="s">
        <v>8</v>
      </c>
      <c r="L31" s="3" t="s">
        <v>222</v>
      </c>
      <c r="M31" s="3" t="s">
        <v>222</v>
      </c>
      <c r="N31" s="3" t="s">
        <v>222</v>
      </c>
      <c r="O31" s="4" t="s">
        <v>8</v>
      </c>
      <c r="P31" s="20" t="s">
        <v>8</v>
      </c>
    </row>
    <row r="32" spans="1:16" x14ac:dyDescent="0.3">
      <c r="A32" t="s">
        <v>37</v>
      </c>
      <c r="B32" t="s">
        <v>16</v>
      </c>
      <c r="D32" s="1" t="s">
        <v>8</v>
      </c>
      <c r="E32" s="4" t="s">
        <v>8</v>
      </c>
      <c r="F32" s="3" t="s">
        <v>222</v>
      </c>
      <c r="G32" s="3" t="s">
        <v>222</v>
      </c>
      <c r="H32" s="4" t="s">
        <v>8</v>
      </c>
      <c r="I32" s="3" t="s">
        <v>222</v>
      </c>
      <c r="J32" s="4" t="s">
        <v>8</v>
      </c>
      <c r="K32" s="4" t="s">
        <v>8</v>
      </c>
      <c r="L32" s="4" t="s">
        <v>8</v>
      </c>
      <c r="M32" s="3" t="s">
        <v>222</v>
      </c>
      <c r="N32" s="4" t="s">
        <v>8</v>
      </c>
      <c r="O32" s="4" t="s">
        <v>8</v>
      </c>
      <c r="P32" s="20" t="s">
        <v>8</v>
      </c>
    </row>
    <row r="33" spans="1:17" x14ac:dyDescent="0.3">
      <c r="A33" s="14" t="s">
        <v>50</v>
      </c>
      <c r="B33" s="14" t="s">
        <v>51</v>
      </c>
      <c r="C33" s="14"/>
      <c r="D33" s="14" t="s">
        <v>5</v>
      </c>
      <c r="E33" s="5" t="s">
        <v>1</v>
      </c>
      <c r="F33" s="5" t="s">
        <v>1</v>
      </c>
      <c r="G33" s="5" t="s">
        <v>5</v>
      </c>
      <c r="H33" s="5">
        <v>13</v>
      </c>
      <c r="I33" s="5">
        <v>13</v>
      </c>
      <c r="J33" s="5">
        <v>13</v>
      </c>
      <c r="K33" s="5" t="s">
        <v>2</v>
      </c>
      <c r="L33" s="5">
        <v>13</v>
      </c>
      <c r="M33" s="5" t="s">
        <v>1</v>
      </c>
      <c r="N33" s="5" t="s">
        <v>1</v>
      </c>
      <c r="O33" s="5">
        <v>13</v>
      </c>
      <c r="P33" s="20" t="s">
        <v>207</v>
      </c>
    </row>
    <row r="34" spans="1:17" x14ac:dyDescent="0.3">
      <c r="A34" s="14" t="s">
        <v>50</v>
      </c>
      <c r="B34" s="14" t="s">
        <v>52</v>
      </c>
      <c r="C34" s="14"/>
      <c r="D34" s="14" t="s">
        <v>5</v>
      </c>
      <c r="E34" s="5">
        <v>9</v>
      </c>
      <c r="F34" s="5" t="s">
        <v>53</v>
      </c>
      <c r="G34" s="5">
        <v>4</v>
      </c>
      <c r="H34" s="5" t="s">
        <v>5</v>
      </c>
      <c r="I34" s="5">
        <v>8</v>
      </c>
      <c r="J34" s="5" t="s">
        <v>5</v>
      </c>
      <c r="K34" s="5" t="s">
        <v>2</v>
      </c>
      <c r="L34" s="5">
        <v>8</v>
      </c>
      <c r="M34" s="5">
        <v>4</v>
      </c>
      <c r="N34" s="5">
        <v>4</v>
      </c>
      <c r="O34" s="5">
        <v>8</v>
      </c>
      <c r="P34" s="20">
        <v>8</v>
      </c>
    </row>
    <row r="35" spans="1:17" x14ac:dyDescent="0.3">
      <c r="A35" s="14" t="s">
        <v>50</v>
      </c>
      <c r="B35" s="14" t="s">
        <v>54</v>
      </c>
      <c r="C35" s="14"/>
      <c r="D35" s="14" t="s">
        <v>28</v>
      </c>
      <c r="E35" s="5" t="s">
        <v>28</v>
      </c>
      <c r="F35" s="5" t="s">
        <v>28</v>
      </c>
      <c r="G35" s="5" t="s">
        <v>28</v>
      </c>
      <c r="H35" s="5" t="s">
        <v>5</v>
      </c>
      <c r="I35" s="5" t="s">
        <v>28</v>
      </c>
      <c r="J35" s="5" t="s">
        <v>5</v>
      </c>
      <c r="K35" s="5" t="s">
        <v>28</v>
      </c>
      <c r="L35" s="5" t="s">
        <v>28</v>
      </c>
      <c r="M35" s="5" t="s">
        <v>28</v>
      </c>
      <c r="N35" s="5" t="s">
        <v>28</v>
      </c>
      <c r="O35" s="5" t="s">
        <v>28</v>
      </c>
      <c r="P35" s="20" t="s">
        <v>28</v>
      </c>
    </row>
    <row r="36" spans="1:17" x14ac:dyDescent="0.3">
      <c r="A36" s="14" t="s">
        <v>50</v>
      </c>
      <c r="B36" s="14" t="s">
        <v>55</v>
      </c>
      <c r="C36" s="14"/>
      <c r="D36" s="14" t="s">
        <v>5</v>
      </c>
      <c r="E36" s="18" t="s">
        <v>8</v>
      </c>
      <c r="F36" s="5" t="s">
        <v>5</v>
      </c>
      <c r="G36" s="5" t="s">
        <v>5</v>
      </c>
      <c r="H36" s="5" t="s">
        <v>5</v>
      </c>
      <c r="I36" s="18" t="s">
        <v>8</v>
      </c>
      <c r="J36" s="5" t="s">
        <v>5</v>
      </c>
      <c r="K36" s="18" t="s">
        <v>8</v>
      </c>
      <c r="L36" s="18" t="s">
        <v>8</v>
      </c>
      <c r="M36" s="18" t="s">
        <v>8</v>
      </c>
      <c r="N36" s="18" t="s">
        <v>8</v>
      </c>
      <c r="O36" s="18" t="s">
        <v>8</v>
      </c>
      <c r="P36" s="20" t="s">
        <v>8</v>
      </c>
    </row>
    <row r="37" spans="1:17" x14ac:dyDescent="0.3">
      <c r="A37" s="14" t="s">
        <v>50</v>
      </c>
      <c r="B37" s="14" t="s">
        <v>7</v>
      </c>
      <c r="C37" s="14"/>
      <c r="D37" s="14" t="s">
        <v>5</v>
      </c>
      <c r="E37" s="18" t="s">
        <v>8</v>
      </c>
      <c r="F37" s="5" t="s">
        <v>222</v>
      </c>
      <c r="G37" s="5" t="s">
        <v>5</v>
      </c>
      <c r="H37" s="5" t="s">
        <v>5</v>
      </c>
      <c r="I37" s="18" t="s">
        <v>8</v>
      </c>
      <c r="J37" s="5" t="s">
        <v>5</v>
      </c>
      <c r="K37" s="5" t="s">
        <v>222</v>
      </c>
      <c r="L37" s="18" t="s">
        <v>8</v>
      </c>
      <c r="M37" s="18" t="s">
        <v>9</v>
      </c>
      <c r="N37" s="18" t="s">
        <v>9</v>
      </c>
      <c r="O37" s="18" t="s">
        <v>6</v>
      </c>
      <c r="P37" s="20" t="s">
        <v>8</v>
      </c>
    </row>
    <row r="38" spans="1:17" x14ac:dyDescent="0.3">
      <c r="A38" s="14" t="s">
        <v>50</v>
      </c>
      <c r="B38" s="14" t="s">
        <v>56</v>
      </c>
      <c r="C38" s="14"/>
      <c r="D38" s="14" t="s">
        <v>5</v>
      </c>
      <c r="E38" s="18" t="s">
        <v>8</v>
      </c>
      <c r="F38" s="5" t="s">
        <v>222</v>
      </c>
      <c r="G38" s="5" t="s">
        <v>222</v>
      </c>
      <c r="H38" s="5" t="s">
        <v>5</v>
      </c>
      <c r="I38" s="18" t="s">
        <v>8</v>
      </c>
      <c r="J38" s="5" t="s">
        <v>5</v>
      </c>
      <c r="K38" s="5" t="s">
        <v>222</v>
      </c>
      <c r="L38" s="5" t="s">
        <v>222</v>
      </c>
      <c r="M38" s="18" t="s">
        <v>8</v>
      </c>
      <c r="N38" s="18" t="s">
        <v>8</v>
      </c>
      <c r="O38" s="18" t="s">
        <v>8</v>
      </c>
      <c r="P38" s="20" t="s">
        <v>8</v>
      </c>
    </row>
    <row r="39" spans="1:17" x14ac:dyDescent="0.3">
      <c r="A39" s="14" t="s">
        <v>50</v>
      </c>
      <c r="B39" s="14" t="s">
        <v>16</v>
      </c>
      <c r="C39" s="14"/>
      <c r="D39" s="14"/>
      <c r="E39" s="5" t="s">
        <v>222</v>
      </c>
      <c r="F39" s="5" t="s">
        <v>222</v>
      </c>
      <c r="G39" s="5" t="s">
        <v>222</v>
      </c>
      <c r="H39" s="5" t="s">
        <v>5</v>
      </c>
      <c r="I39" s="18" t="s">
        <v>8</v>
      </c>
      <c r="J39" s="18" t="s">
        <v>8</v>
      </c>
      <c r="K39" s="5" t="s">
        <v>222</v>
      </c>
      <c r="L39" s="18" t="s">
        <v>8</v>
      </c>
      <c r="M39" s="5" t="s">
        <v>222</v>
      </c>
      <c r="N39" s="5" t="s">
        <v>222</v>
      </c>
      <c r="O39" s="5" t="s">
        <v>222</v>
      </c>
      <c r="P39" s="20" t="s">
        <v>8</v>
      </c>
    </row>
    <row r="40" spans="1:17" x14ac:dyDescent="0.3">
      <c r="A40" t="s">
        <v>62</v>
      </c>
      <c r="B40" t="s">
        <v>57</v>
      </c>
      <c r="E40" s="3" t="s">
        <v>28</v>
      </c>
      <c r="F40" s="3" t="s">
        <v>28</v>
      </c>
      <c r="G40" s="3" t="s">
        <v>28</v>
      </c>
      <c r="H40" s="3" t="s">
        <v>5</v>
      </c>
      <c r="I40" s="3" t="s">
        <v>28</v>
      </c>
      <c r="J40" s="3" t="s">
        <v>28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28</v>
      </c>
      <c r="P40" s="20" t="s">
        <v>28</v>
      </c>
    </row>
    <row r="41" spans="1:17" x14ac:dyDescent="0.3">
      <c r="A41" t="s">
        <v>62</v>
      </c>
      <c r="B41" t="s">
        <v>59</v>
      </c>
      <c r="E41" s="3" t="s">
        <v>222</v>
      </c>
      <c r="F41" s="3" t="s">
        <v>222</v>
      </c>
      <c r="G41" s="3" t="s">
        <v>1</v>
      </c>
      <c r="H41" s="3" t="s">
        <v>5</v>
      </c>
      <c r="I41" s="3" t="s">
        <v>60</v>
      </c>
      <c r="J41" s="3" t="s">
        <v>60</v>
      </c>
      <c r="K41" s="3">
        <v>10</v>
      </c>
      <c r="L41" s="3" t="s">
        <v>60</v>
      </c>
      <c r="M41" s="3" t="s">
        <v>1</v>
      </c>
      <c r="N41" s="3" t="s">
        <v>1</v>
      </c>
      <c r="O41" s="3" t="s">
        <v>1</v>
      </c>
      <c r="P41" s="20">
        <v>14</v>
      </c>
    </row>
    <row r="42" spans="1:17" x14ac:dyDescent="0.3">
      <c r="A42" t="s">
        <v>62</v>
      </c>
      <c r="B42" t="s">
        <v>58</v>
      </c>
      <c r="E42" s="3" t="s">
        <v>222</v>
      </c>
      <c r="G42" s="4" t="s">
        <v>8</v>
      </c>
      <c r="H42" s="3" t="s">
        <v>5</v>
      </c>
      <c r="I42" s="4" t="s">
        <v>8</v>
      </c>
      <c r="J42" s="4" t="s">
        <v>8</v>
      </c>
      <c r="K42" s="4" t="s">
        <v>8</v>
      </c>
      <c r="L42" s="4" t="s">
        <v>8</v>
      </c>
      <c r="M42" s="4" t="s">
        <v>9</v>
      </c>
      <c r="N42" s="4" t="s">
        <v>9</v>
      </c>
      <c r="O42" s="4" t="s">
        <v>8</v>
      </c>
      <c r="P42" s="20" t="s">
        <v>8</v>
      </c>
    </row>
    <row r="43" spans="1:17" x14ac:dyDescent="0.3">
      <c r="A43" t="s">
        <v>62</v>
      </c>
      <c r="B43" t="s">
        <v>7</v>
      </c>
      <c r="E43" s="3" t="s">
        <v>222</v>
      </c>
      <c r="G43" s="3" t="s">
        <v>5</v>
      </c>
      <c r="H43" s="3" t="s">
        <v>5</v>
      </c>
      <c r="I43" s="3" t="s">
        <v>222</v>
      </c>
      <c r="J43" s="4" t="s">
        <v>8</v>
      </c>
      <c r="K43" s="4" t="s">
        <v>8</v>
      </c>
      <c r="L43" s="3" t="s">
        <v>222</v>
      </c>
      <c r="M43" s="4" t="s">
        <v>9</v>
      </c>
      <c r="N43" s="4" t="s">
        <v>9</v>
      </c>
      <c r="O43" s="4" t="s">
        <v>6</v>
      </c>
      <c r="P43" s="20" t="s">
        <v>8</v>
      </c>
    </row>
    <row r="44" spans="1:17" x14ac:dyDescent="0.3">
      <c r="A44" t="s">
        <v>62</v>
      </c>
      <c r="B44" t="s">
        <v>61</v>
      </c>
      <c r="E44" s="3" t="s">
        <v>222</v>
      </c>
      <c r="G44" s="3" t="s">
        <v>222</v>
      </c>
      <c r="H44" s="3" t="s">
        <v>222</v>
      </c>
      <c r="I44" s="3" t="s">
        <v>222</v>
      </c>
      <c r="J44" s="4" t="s">
        <v>8</v>
      </c>
      <c r="K44" s="4" t="s">
        <v>8</v>
      </c>
      <c r="L44" s="3" t="s">
        <v>222</v>
      </c>
      <c r="M44" s="3" t="s">
        <v>222</v>
      </c>
      <c r="N44" s="3" t="s">
        <v>222</v>
      </c>
      <c r="O44" s="4" t="s">
        <v>8</v>
      </c>
      <c r="P44" s="20" t="s">
        <v>8</v>
      </c>
    </row>
    <row r="45" spans="1:17" x14ac:dyDescent="0.3">
      <c r="A45" t="s">
        <v>62</v>
      </c>
      <c r="B45" t="s">
        <v>16</v>
      </c>
      <c r="E45" s="3" t="s">
        <v>222</v>
      </c>
      <c r="G45" s="3" t="s">
        <v>222</v>
      </c>
      <c r="H45" s="3" t="s">
        <v>222</v>
      </c>
      <c r="I45" s="3" t="s">
        <v>5</v>
      </c>
      <c r="J45" s="4" t="s">
        <v>8</v>
      </c>
      <c r="K45" s="3" t="s">
        <v>222</v>
      </c>
      <c r="L45" s="3" t="s">
        <v>222</v>
      </c>
      <c r="M45" s="4" t="s">
        <v>8</v>
      </c>
      <c r="N45" s="3" t="s">
        <v>222</v>
      </c>
      <c r="O45" s="4" t="s">
        <v>8</v>
      </c>
      <c r="P45" s="20" t="s">
        <v>8</v>
      </c>
    </row>
    <row r="46" spans="1:17" x14ac:dyDescent="0.3">
      <c r="A46" s="14" t="s">
        <v>63</v>
      </c>
      <c r="B46" s="14" t="s">
        <v>64</v>
      </c>
      <c r="C46" s="14"/>
      <c r="D46" s="14"/>
      <c r="E46" s="5"/>
      <c r="F46" s="5"/>
      <c r="G46" s="5" t="s">
        <v>5</v>
      </c>
      <c r="H46" s="5"/>
      <c r="I46" s="5"/>
      <c r="J46" s="5" t="s">
        <v>219</v>
      </c>
      <c r="K46" s="5">
        <v>13</v>
      </c>
      <c r="L46" s="5">
        <v>13</v>
      </c>
      <c r="M46" s="5" t="s">
        <v>1</v>
      </c>
      <c r="N46" s="5" t="s">
        <v>1</v>
      </c>
      <c r="O46" s="5">
        <v>13</v>
      </c>
      <c r="P46" s="22" t="s">
        <v>207</v>
      </c>
    </row>
    <row r="47" spans="1:17" x14ac:dyDescent="0.3">
      <c r="A47" s="14" t="s">
        <v>63</v>
      </c>
      <c r="B47" s="14" t="s">
        <v>65</v>
      </c>
      <c r="C47" s="14"/>
      <c r="D47" s="14"/>
      <c r="E47" s="5"/>
      <c r="F47" s="5"/>
      <c r="G47" s="5" t="s">
        <v>5</v>
      </c>
      <c r="H47" s="5"/>
      <c r="I47" s="5"/>
      <c r="J47" s="5" t="s">
        <v>222</v>
      </c>
      <c r="K47" s="5">
        <v>19</v>
      </c>
      <c r="L47" s="5">
        <v>19</v>
      </c>
      <c r="M47" s="5">
        <v>19</v>
      </c>
      <c r="N47" s="5" t="s">
        <v>1</v>
      </c>
      <c r="O47" s="5">
        <v>19</v>
      </c>
      <c r="P47" s="20">
        <v>19</v>
      </c>
    </row>
    <row r="48" spans="1:17" x14ac:dyDescent="0.3">
      <c r="A48" s="14" t="s">
        <v>63</v>
      </c>
      <c r="B48" s="14" t="s">
        <v>66</v>
      </c>
      <c r="C48" s="14"/>
      <c r="D48" s="14"/>
      <c r="E48" s="5"/>
      <c r="F48" s="5"/>
      <c r="G48" s="5" t="s">
        <v>5</v>
      </c>
      <c r="H48" s="5"/>
      <c r="I48" s="5"/>
      <c r="J48" s="5" t="s">
        <v>222</v>
      </c>
      <c r="K48" s="5" t="s">
        <v>220</v>
      </c>
      <c r="L48" s="5" t="s">
        <v>220</v>
      </c>
      <c r="M48" s="5" t="s">
        <v>67</v>
      </c>
      <c r="N48" s="5" t="s">
        <v>67</v>
      </c>
      <c r="O48" s="5" t="s">
        <v>221</v>
      </c>
      <c r="P48" s="20" t="s">
        <v>221</v>
      </c>
      <c r="Q48" s="3"/>
    </row>
    <row r="49" spans="1:16" x14ac:dyDescent="0.3">
      <c r="A49" s="14" t="s">
        <v>63</v>
      </c>
      <c r="B49" s="14" t="s">
        <v>7</v>
      </c>
      <c r="C49" s="14"/>
      <c r="D49" s="14"/>
      <c r="E49" s="5"/>
      <c r="F49" s="5"/>
      <c r="G49" s="5" t="s">
        <v>5</v>
      </c>
      <c r="H49" s="5"/>
      <c r="I49" s="5"/>
      <c r="J49" s="18" t="s">
        <v>8</v>
      </c>
      <c r="K49" s="18" t="s">
        <v>6</v>
      </c>
      <c r="L49" s="5" t="s">
        <v>222</v>
      </c>
      <c r="M49" s="18" t="s">
        <v>9</v>
      </c>
      <c r="N49" s="18" t="s">
        <v>9</v>
      </c>
      <c r="O49" s="18" t="s">
        <v>6</v>
      </c>
      <c r="P49" s="20" t="s">
        <v>222</v>
      </c>
    </row>
    <row r="50" spans="1:16" x14ac:dyDescent="0.3">
      <c r="A50" s="14" t="s">
        <v>63</v>
      </c>
      <c r="B50" s="14" t="s">
        <v>68</v>
      </c>
      <c r="C50" s="14"/>
      <c r="D50" s="14"/>
      <c r="E50" s="5"/>
      <c r="F50" s="5"/>
      <c r="G50" s="5" t="s">
        <v>5</v>
      </c>
      <c r="H50" s="5"/>
      <c r="I50" s="5"/>
      <c r="J50" s="5"/>
      <c r="K50" s="18" t="s">
        <v>69</v>
      </c>
      <c r="L50" s="18" t="s">
        <v>69</v>
      </c>
      <c r="M50" s="18" t="s">
        <v>70</v>
      </c>
      <c r="N50" s="18" t="s">
        <v>70</v>
      </c>
      <c r="O50" s="18" t="s">
        <v>71</v>
      </c>
      <c r="P50" s="20" t="s">
        <v>69</v>
      </c>
    </row>
    <row r="51" spans="1:16" x14ac:dyDescent="0.3">
      <c r="A51" s="14" t="s">
        <v>63</v>
      </c>
      <c r="B51" s="14" t="s">
        <v>16</v>
      </c>
      <c r="C51" s="14"/>
      <c r="D51" s="14"/>
      <c r="E51" s="5"/>
      <c r="F51" s="5"/>
      <c r="G51" s="5" t="s">
        <v>5</v>
      </c>
      <c r="H51" s="5"/>
      <c r="I51" s="5"/>
      <c r="J51" s="5"/>
      <c r="K51" s="5" t="s">
        <v>222</v>
      </c>
      <c r="L51" s="18" t="s">
        <v>8</v>
      </c>
      <c r="M51" s="5" t="s">
        <v>222</v>
      </c>
      <c r="N51" s="18" t="s">
        <v>8</v>
      </c>
      <c r="O51" s="5" t="s">
        <v>222</v>
      </c>
      <c r="P51" s="20" t="s">
        <v>8</v>
      </c>
    </row>
    <row r="52" spans="1:16" x14ac:dyDescent="0.3">
      <c r="A52" t="s">
        <v>72</v>
      </c>
      <c r="B52" t="s">
        <v>73</v>
      </c>
      <c r="G52" s="3" t="s">
        <v>1</v>
      </c>
      <c r="K52" s="3">
        <v>8</v>
      </c>
      <c r="L52" s="3" t="s">
        <v>60</v>
      </c>
      <c r="M52" s="3" t="s">
        <v>1</v>
      </c>
      <c r="N52" s="3" t="s">
        <v>1</v>
      </c>
      <c r="O52" s="3">
        <v>8</v>
      </c>
      <c r="P52" s="20">
        <v>8</v>
      </c>
    </row>
    <row r="53" spans="1:16" x14ac:dyDescent="0.3">
      <c r="A53" t="s">
        <v>72</v>
      </c>
      <c r="B53" t="s">
        <v>26</v>
      </c>
      <c r="G53" s="3" t="s">
        <v>2</v>
      </c>
      <c r="K53" s="3">
        <v>11</v>
      </c>
      <c r="L53" s="3" t="s">
        <v>1</v>
      </c>
      <c r="M53" s="3" t="s">
        <v>1</v>
      </c>
      <c r="N53" s="3" t="s">
        <v>1</v>
      </c>
      <c r="O53" s="3" t="s">
        <v>60</v>
      </c>
      <c r="P53" s="20">
        <v>11</v>
      </c>
    </row>
    <row r="54" spans="1:16" x14ac:dyDescent="0.3">
      <c r="A54" t="s">
        <v>72</v>
      </c>
      <c r="B54" t="s">
        <v>7</v>
      </c>
      <c r="G54" s="4" t="s">
        <v>9</v>
      </c>
      <c r="K54" s="3" t="s">
        <v>222</v>
      </c>
      <c r="L54" s="3" t="s">
        <v>222</v>
      </c>
      <c r="M54" s="4" t="s">
        <v>9</v>
      </c>
      <c r="N54" s="4" t="s">
        <v>9</v>
      </c>
      <c r="O54" s="4" t="s">
        <v>6</v>
      </c>
      <c r="P54" s="20" t="s">
        <v>222</v>
      </c>
    </row>
    <row r="55" spans="1:16" x14ac:dyDescent="0.3">
      <c r="A55" t="s">
        <v>72</v>
      </c>
      <c r="B55" t="s">
        <v>74</v>
      </c>
      <c r="G55" s="3" t="s">
        <v>28</v>
      </c>
      <c r="K55" s="3" t="s">
        <v>29</v>
      </c>
      <c r="L55" s="3" t="s">
        <v>29</v>
      </c>
      <c r="M55" s="3" t="s">
        <v>28</v>
      </c>
      <c r="N55" s="3" t="s">
        <v>222</v>
      </c>
      <c r="O55" s="3" t="s">
        <v>29</v>
      </c>
      <c r="P55" s="20" t="s">
        <v>29</v>
      </c>
    </row>
    <row r="56" spans="1:16" x14ac:dyDescent="0.3">
      <c r="A56" s="14" t="s">
        <v>75</v>
      </c>
      <c r="B56" s="14" t="s">
        <v>76</v>
      </c>
      <c r="C56" s="14"/>
      <c r="D56" s="14"/>
      <c r="E56" s="5"/>
      <c r="F56" s="5"/>
      <c r="G56" s="5" t="s">
        <v>28</v>
      </c>
      <c r="H56" s="5"/>
      <c r="I56" s="5"/>
      <c r="J56" s="5"/>
      <c r="K56" s="5" t="s">
        <v>28</v>
      </c>
      <c r="L56" s="5" t="s">
        <v>28</v>
      </c>
      <c r="M56" s="5" t="s">
        <v>28</v>
      </c>
      <c r="N56" s="5" t="s">
        <v>28</v>
      </c>
      <c r="O56" s="5" t="s">
        <v>28</v>
      </c>
      <c r="P56" s="20" t="s">
        <v>28</v>
      </c>
    </row>
    <row r="57" spans="1:16" x14ac:dyDescent="0.3">
      <c r="A57" s="14" t="s">
        <v>75</v>
      </c>
      <c r="B57" s="14" t="s">
        <v>77</v>
      </c>
      <c r="C57" s="14"/>
      <c r="D57" s="14"/>
      <c r="E57" s="5"/>
      <c r="F57" s="5"/>
      <c r="G57" s="5" t="s">
        <v>40</v>
      </c>
      <c r="H57" s="5"/>
      <c r="I57" s="5"/>
      <c r="J57" s="5"/>
      <c r="K57" s="5" t="s">
        <v>222</v>
      </c>
      <c r="L57" s="5">
        <v>1</v>
      </c>
      <c r="M57" s="5">
        <v>1</v>
      </c>
      <c r="N57" s="5">
        <v>1</v>
      </c>
      <c r="O57" s="5">
        <v>1</v>
      </c>
      <c r="P57" s="20">
        <v>1</v>
      </c>
    </row>
    <row r="58" spans="1:16" x14ac:dyDescent="0.3">
      <c r="A58" s="14" t="s">
        <v>75</v>
      </c>
      <c r="B58" s="14" t="s">
        <v>78</v>
      </c>
      <c r="C58" s="14"/>
      <c r="D58" s="14"/>
      <c r="E58" s="5"/>
      <c r="F58" s="5"/>
      <c r="G58" s="5">
        <v>2</v>
      </c>
      <c r="H58" s="5"/>
      <c r="I58" s="5"/>
      <c r="J58" s="5"/>
      <c r="K58" s="5">
        <v>2</v>
      </c>
      <c r="L58" s="5">
        <v>2</v>
      </c>
      <c r="M58" s="5">
        <v>3</v>
      </c>
      <c r="N58" s="5">
        <v>3</v>
      </c>
      <c r="O58" s="5">
        <v>2</v>
      </c>
      <c r="P58" s="20">
        <v>2</v>
      </c>
    </row>
    <row r="59" spans="1:16" x14ac:dyDescent="0.3">
      <c r="A59" s="14" t="s">
        <v>75</v>
      </c>
      <c r="B59" s="14" t="s">
        <v>79</v>
      </c>
      <c r="C59" s="14"/>
      <c r="D59" s="14"/>
      <c r="E59" s="5"/>
      <c r="F59" s="5"/>
      <c r="G59" s="18" t="s">
        <v>80</v>
      </c>
      <c r="H59" s="5"/>
      <c r="I59" s="5"/>
      <c r="J59" s="5"/>
      <c r="K59" s="18" t="s">
        <v>81</v>
      </c>
      <c r="L59" s="18" t="s">
        <v>80</v>
      </c>
      <c r="M59" s="18" t="s">
        <v>80</v>
      </c>
      <c r="N59" s="18" t="s">
        <v>80</v>
      </c>
      <c r="O59" s="18" t="s">
        <v>80</v>
      </c>
      <c r="P59" s="20" t="s">
        <v>80</v>
      </c>
    </row>
    <row r="60" spans="1:16" x14ac:dyDescent="0.3">
      <c r="A60" s="14" t="s">
        <v>75</v>
      </c>
      <c r="B60" s="14" t="s">
        <v>7</v>
      </c>
      <c r="C60" s="14"/>
      <c r="D60" s="14"/>
      <c r="E60" s="5"/>
      <c r="F60" s="5"/>
      <c r="G60" s="18" t="s">
        <v>9</v>
      </c>
      <c r="H60" s="5"/>
      <c r="I60" s="5"/>
      <c r="J60" s="18"/>
      <c r="K60" s="18" t="s">
        <v>8</v>
      </c>
      <c r="L60" s="18" t="s">
        <v>8</v>
      </c>
      <c r="M60" s="18" t="s">
        <v>9</v>
      </c>
      <c r="N60" s="18" t="s">
        <v>9</v>
      </c>
      <c r="O60" s="18" t="s">
        <v>6</v>
      </c>
      <c r="P60" s="20" t="s">
        <v>8</v>
      </c>
    </row>
    <row r="61" spans="1:16" x14ac:dyDescent="0.3">
      <c r="A61" s="14" t="s">
        <v>75</v>
      </c>
      <c r="B61" s="14" t="s">
        <v>82</v>
      </c>
      <c r="C61" s="14"/>
      <c r="D61" s="14"/>
      <c r="E61" s="5"/>
      <c r="F61" s="5"/>
      <c r="G61" s="5" t="s">
        <v>83</v>
      </c>
      <c r="H61" s="5"/>
      <c r="I61" s="5"/>
      <c r="J61" s="5"/>
      <c r="K61" s="5" t="s">
        <v>84</v>
      </c>
      <c r="L61" s="5" t="s">
        <v>83</v>
      </c>
      <c r="M61" s="5" t="s">
        <v>85</v>
      </c>
      <c r="N61" s="5" t="s">
        <v>83</v>
      </c>
      <c r="O61" s="5" t="s">
        <v>84</v>
      </c>
      <c r="P61" s="20" t="s">
        <v>83</v>
      </c>
    </row>
    <row r="62" spans="1:16" x14ac:dyDescent="0.3">
      <c r="A62" s="14" t="s">
        <v>75</v>
      </c>
      <c r="B62" s="14" t="s">
        <v>16</v>
      </c>
      <c r="C62" s="14"/>
      <c r="D62" s="5"/>
      <c r="E62" s="5"/>
      <c r="F62" s="5"/>
      <c r="G62" s="5" t="s">
        <v>222</v>
      </c>
      <c r="H62" s="5"/>
      <c r="I62" s="5"/>
      <c r="J62" s="5"/>
      <c r="K62" s="18" t="s">
        <v>8</v>
      </c>
      <c r="L62" s="5" t="s">
        <v>222</v>
      </c>
      <c r="M62" s="5" t="s">
        <v>222</v>
      </c>
      <c r="N62" s="5" t="s">
        <v>222</v>
      </c>
      <c r="O62" s="5" t="s">
        <v>222</v>
      </c>
      <c r="P62" s="20" t="s">
        <v>8</v>
      </c>
    </row>
    <row r="63" spans="1:16" x14ac:dyDescent="0.3">
      <c r="A63" t="s">
        <v>86</v>
      </c>
      <c r="B63" t="s">
        <v>0</v>
      </c>
      <c r="G63" s="3" t="s">
        <v>1</v>
      </c>
      <c r="K63" s="3" t="s">
        <v>87</v>
      </c>
      <c r="L63" s="3" t="s">
        <v>60</v>
      </c>
      <c r="M63" s="3" t="s">
        <v>1</v>
      </c>
      <c r="N63" s="3" t="s">
        <v>2</v>
      </c>
      <c r="O63" s="3">
        <v>12</v>
      </c>
      <c r="P63" s="20" t="s">
        <v>227</v>
      </c>
    </row>
    <row r="64" spans="1:16" x14ac:dyDescent="0.3">
      <c r="A64" t="s">
        <v>86</v>
      </c>
      <c r="B64" t="s">
        <v>88</v>
      </c>
      <c r="G64" s="3" t="s">
        <v>89</v>
      </c>
      <c r="K64" s="3">
        <v>8</v>
      </c>
      <c r="L64" s="3" t="s">
        <v>90</v>
      </c>
      <c r="M64" s="3" t="s">
        <v>222</v>
      </c>
      <c r="N64" s="3" t="s">
        <v>2</v>
      </c>
      <c r="O64" s="3">
        <v>8</v>
      </c>
      <c r="P64" s="20">
        <v>9</v>
      </c>
    </row>
    <row r="65" spans="1:16" x14ac:dyDescent="0.3">
      <c r="A65" t="s">
        <v>86</v>
      </c>
      <c r="B65" t="s">
        <v>91</v>
      </c>
      <c r="G65" s="4" t="s">
        <v>8</v>
      </c>
      <c r="K65" s="4" t="s">
        <v>92</v>
      </c>
      <c r="L65" s="4" t="s">
        <v>8</v>
      </c>
      <c r="M65" s="3" t="s">
        <v>222</v>
      </c>
      <c r="N65" s="3" t="s">
        <v>5</v>
      </c>
      <c r="O65" s="4" t="s">
        <v>8</v>
      </c>
      <c r="P65" s="20" t="s">
        <v>8</v>
      </c>
    </row>
    <row r="66" spans="1:16" x14ac:dyDescent="0.3">
      <c r="A66" t="s">
        <v>86</v>
      </c>
      <c r="B66" t="s">
        <v>7</v>
      </c>
      <c r="K66" s="4" t="s">
        <v>6</v>
      </c>
      <c r="L66" s="4" t="s">
        <v>8</v>
      </c>
      <c r="M66" s="3" t="s">
        <v>222</v>
      </c>
      <c r="N66" s="4" t="s">
        <v>9</v>
      </c>
      <c r="O66" s="4" t="s">
        <v>6</v>
      </c>
      <c r="P66" s="20" t="s">
        <v>8</v>
      </c>
    </row>
    <row r="67" spans="1:16" x14ac:dyDescent="0.3">
      <c r="A67" t="s">
        <v>86</v>
      </c>
      <c r="B67" t="s">
        <v>93</v>
      </c>
      <c r="K67" s="3" t="s">
        <v>28</v>
      </c>
      <c r="L67" s="3" t="s">
        <v>29</v>
      </c>
      <c r="M67" s="3" t="s">
        <v>29</v>
      </c>
      <c r="N67" s="3" t="s">
        <v>29</v>
      </c>
      <c r="O67" s="3" t="s">
        <v>28</v>
      </c>
      <c r="P67" s="20" t="s">
        <v>29</v>
      </c>
    </row>
    <row r="68" spans="1:16" x14ac:dyDescent="0.3">
      <c r="A68" t="s">
        <v>86</v>
      </c>
      <c r="B68" t="s">
        <v>16</v>
      </c>
      <c r="K68" s="3" t="s">
        <v>222</v>
      </c>
      <c r="L68" s="4" t="s">
        <v>8</v>
      </c>
      <c r="M68" s="3" t="s">
        <v>222</v>
      </c>
      <c r="N68" s="3" t="s">
        <v>222</v>
      </c>
      <c r="O68" s="3" t="s">
        <v>222</v>
      </c>
      <c r="P68" s="20" t="s">
        <v>8</v>
      </c>
    </row>
    <row r="69" spans="1:16" x14ac:dyDescent="0.3">
      <c r="A69" s="14" t="s">
        <v>94</v>
      </c>
      <c r="B69" s="14" t="s">
        <v>95</v>
      </c>
      <c r="C69" s="14"/>
      <c r="D69" s="14"/>
      <c r="E69" s="5"/>
      <c r="F69" s="5"/>
      <c r="G69" s="5"/>
      <c r="H69" s="5"/>
      <c r="I69" s="5"/>
      <c r="J69" s="5"/>
      <c r="K69" s="5"/>
      <c r="L69" s="5">
        <v>11</v>
      </c>
      <c r="M69" s="5" t="s">
        <v>2</v>
      </c>
      <c r="N69" s="5"/>
      <c r="O69" s="5">
        <v>11</v>
      </c>
      <c r="P69" s="20">
        <v>11</v>
      </c>
    </row>
    <row r="70" spans="1:16" x14ac:dyDescent="0.3">
      <c r="A70" s="14" t="s">
        <v>94</v>
      </c>
      <c r="B70" s="14" t="s">
        <v>208</v>
      </c>
      <c r="C70" s="14"/>
      <c r="D70" s="14"/>
      <c r="E70" s="5"/>
      <c r="F70" s="5"/>
      <c r="G70" s="5"/>
      <c r="H70" s="5"/>
      <c r="I70" s="5"/>
      <c r="J70" s="5"/>
      <c r="K70" s="5"/>
      <c r="L70" s="5" t="s">
        <v>209</v>
      </c>
      <c r="M70" s="5" t="s">
        <v>209</v>
      </c>
      <c r="N70" s="5"/>
      <c r="O70" s="5" t="s">
        <v>210</v>
      </c>
      <c r="P70" s="20" t="s">
        <v>209</v>
      </c>
    </row>
    <row r="71" spans="1:16" x14ac:dyDescent="0.3">
      <c r="A71" s="14" t="s">
        <v>94</v>
      </c>
      <c r="B71" s="14" t="s">
        <v>96</v>
      </c>
      <c r="C71" s="14"/>
      <c r="D71" s="14"/>
      <c r="E71" s="5"/>
      <c r="F71" s="5"/>
      <c r="G71" s="5"/>
      <c r="H71" s="5"/>
      <c r="I71" s="5"/>
      <c r="J71" s="5"/>
      <c r="K71" s="5"/>
      <c r="L71" s="5" t="s">
        <v>1</v>
      </c>
      <c r="M71" s="5" t="s">
        <v>1</v>
      </c>
      <c r="N71" s="5"/>
      <c r="O71" s="5">
        <v>10</v>
      </c>
      <c r="P71" s="20">
        <v>10</v>
      </c>
    </row>
    <row r="72" spans="1:16" x14ac:dyDescent="0.3">
      <c r="A72" s="14" t="s">
        <v>94</v>
      </c>
      <c r="B72" s="14" t="s">
        <v>76</v>
      </c>
      <c r="C72" s="14"/>
      <c r="D72" s="14"/>
      <c r="E72" s="5"/>
      <c r="F72" s="5"/>
      <c r="G72" s="5"/>
      <c r="H72" s="5"/>
      <c r="I72" s="5"/>
      <c r="J72" s="5"/>
      <c r="K72" s="5"/>
      <c r="L72" s="5" t="s">
        <v>29</v>
      </c>
      <c r="M72" s="5" t="s">
        <v>29</v>
      </c>
      <c r="N72" s="5"/>
      <c r="O72" s="5" t="s">
        <v>28</v>
      </c>
      <c r="P72" s="20" t="s">
        <v>29</v>
      </c>
    </row>
    <row r="73" spans="1:16" x14ac:dyDescent="0.3">
      <c r="A73" s="14" t="s">
        <v>94</v>
      </c>
      <c r="B73" s="14" t="s">
        <v>7</v>
      </c>
      <c r="C73" s="14"/>
      <c r="D73" s="14"/>
      <c r="E73" s="5"/>
      <c r="F73" s="5"/>
      <c r="G73" s="5"/>
      <c r="H73" s="5"/>
      <c r="I73" s="5"/>
      <c r="J73" s="5"/>
      <c r="K73" s="5"/>
      <c r="L73" s="18" t="s">
        <v>8</v>
      </c>
      <c r="M73" s="5"/>
      <c r="N73" s="5"/>
      <c r="O73" s="18" t="s">
        <v>6</v>
      </c>
      <c r="P73" s="20" t="s">
        <v>8</v>
      </c>
    </row>
    <row r="74" spans="1:16" x14ac:dyDescent="0.3">
      <c r="A74" s="14" t="s">
        <v>94</v>
      </c>
      <c r="B74" s="14" t="s">
        <v>82</v>
      </c>
      <c r="C74" s="14"/>
      <c r="D74" s="14"/>
      <c r="E74" s="5"/>
      <c r="F74" s="5"/>
      <c r="G74" s="5"/>
      <c r="H74" s="5"/>
      <c r="I74" s="5"/>
      <c r="J74" s="5"/>
      <c r="K74" s="5"/>
      <c r="L74" s="18" t="s">
        <v>97</v>
      </c>
      <c r="M74" s="5"/>
      <c r="N74" s="5"/>
      <c r="O74" s="18" t="s">
        <v>98</v>
      </c>
      <c r="P74" s="20" t="s">
        <v>97</v>
      </c>
    </row>
    <row r="75" spans="1:16" x14ac:dyDescent="0.3">
      <c r="A75" s="14" t="s">
        <v>94</v>
      </c>
      <c r="B75" s="14" t="s">
        <v>93</v>
      </c>
      <c r="C75" s="14"/>
      <c r="D75" s="14"/>
      <c r="E75" s="5"/>
      <c r="F75" s="5"/>
      <c r="G75" s="5"/>
      <c r="H75" s="5"/>
      <c r="I75" s="5"/>
      <c r="J75" s="5"/>
      <c r="K75" s="5"/>
      <c r="L75" s="5" t="s">
        <v>29</v>
      </c>
      <c r="M75" s="5"/>
      <c r="N75" s="5"/>
      <c r="O75" s="5" t="s">
        <v>28</v>
      </c>
      <c r="P75" s="20" t="s">
        <v>29</v>
      </c>
    </row>
    <row r="78" spans="1:16" x14ac:dyDescent="0.3">
      <c r="D78" t="s">
        <v>223</v>
      </c>
      <c r="E78" s="3" t="s">
        <v>225</v>
      </c>
    </row>
  </sheetData>
  <pageMargins left="0.7" right="0.7" top="0.75" bottom="0.75" header="0.3" footer="0.3"/>
  <ignoredErrors>
    <ignoredError sqref="P46 P33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BDCD-E277-4366-8C0B-79EE8EF40097}">
  <dimension ref="B2:AI78"/>
  <sheetViews>
    <sheetView zoomScale="80" zoomScaleNormal="80" workbookViewId="0">
      <selection activeCell="Y25" sqref="Y25"/>
    </sheetView>
  </sheetViews>
  <sheetFormatPr defaultRowHeight="14.4" x14ac:dyDescent="0.3"/>
  <cols>
    <col min="3" max="3" width="12.33203125" bestFit="1" customWidth="1"/>
    <col min="5" max="5" width="14.5546875" bestFit="1" customWidth="1"/>
    <col min="6" max="6" width="9.88671875" customWidth="1"/>
    <col min="20" max="20" width="10.6640625" customWidth="1"/>
  </cols>
  <sheetData>
    <row r="2" spans="2:26" x14ac:dyDescent="0.3">
      <c r="F2" t="s">
        <v>150</v>
      </c>
    </row>
    <row r="3" spans="2:26" ht="64.8" x14ac:dyDescent="0.3">
      <c r="C3" s="12" t="s">
        <v>147</v>
      </c>
      <c r="D3" s="13" t="s">
        <v>204</v>
      </c>
      <c r="E3" s="13" t="s">
        <v>149</v>
      </c>
      <c r="F3" s="2" t="s">
        <v>99</v>
      </c>
      <c r="G3" s="2" t="s">
        <v>100</v>
      </c>
      <c r="H3" s="2" t="s">
        <v>101</v>
      </c>
      <c r="I3" s="2" t="s">
        <v>103</v>
      </c>
      <c r="J3" s="2" t="s">
        <v>104</v>
      </c>
      <c r="K3" s="2" t="s">
        <v>105</v>
      </c>
      <c r="L3" s="2" t="s">
        <v>102</v>
      </c>
      <c r="M3" s="2" t="s">
        <v>106</v>
      </c>
      <c r="N3" s="2" t="s">
        <v>108</v>
      </c>
      <c r="O3" s="2" t="s">
        <v>109</v>
      </c>
      <c r="P3" s="2" t="s">
        <v>107</v>
      </c>
      <c r="Q3" s="2" t="s">
        <v>110</v>
      </c>
      <c r="T3" s="3"/>
    </row>
    <row r="4" spans="2:26" x14ac:dyDescent="0.3">
      <c r="B4" t="s">
        <v>119</v>
      </c>
      <c r="C4" s="2">
        <v>11</v>
      </c>
      <c r="D4" t="s">
        <v>120</v>
      </c>
      <c r="E4" t="s">
        <v>155</v>
      </c>
      <c r="F4" s="2">
        <v>19</v>
      </c>
      <c r="G4" s="2">
        <v>19</v>
      </c>
      <c r="H4" s="2">
        <v>19</v>
      </c>
      <c r="I4" s="2">
        <v>19</v>
      </c>
      <c r="J4" s="2">
        <v>19</v>
      </c>
      <c r="K4" s="2">
        <v>19</v>
      </c>
      <c r="L4" s="2">
        <v>19</v>
      </c>
      <c r="M4" s="2">
        <v>19</v>
      </c>
      <c r="N4" s="2">
        <v>19</v>
      </c>
      <c r="O4" s="2">
        <v>19</v>
      </c>
      <c r="P4" s="2">
        <v>19</v>
      </c>
      <c r="Q4" s="2">
        <v>19</v>
      </c>
      <c r="R4" t="s">
        <v>211</v>
      </c>
      <c r="T4" s="3" t="s">
        <v>189</v>
      </c>
    </row>
    <row r="5" spans="2:26" x14ac:dyDescent="0.3">
      <c r="B5" t="s">
        <v>122</v>
      </c>
      <c r="C5" s="2">
        <v>1</v>
      </c>
      <c r="D5" t="s">
        <v>121</v>
      </c>
      <c r="E5" t="s">
        <v>156</v>
      </c>
      <c r="F5" s="2">
        <v>12</v>
      </c>
      <c r="G5" s="2">
        <v>12</v>
      </c>
      <c r="H5" s="2">
        <v>12</v>
      </c>
      <c r="I5" s="2">
        <v>14</v>
      </c>
      <c r="J5" s="2" t="s">
        <v>5</v>
      </c>
      <c r="K5" s="2">
        <v>14</v>
      </c>
      <c r="L5" s="2">
        <v>12</v>
      </c>
      <c r="M5" s="2">
        <v>14</v>
      </c>
      <c r="N5" s="2">
        <v>12</v>
      </c>
      <c r="O5" s="2">
        <v>12</v>
      </c>
      <c r="P5" s="2">
        <v>14</v>
      </c>
      <c r="Q5" s="2">
        <v>10</v>
      </c>
      <c r="R5" t="s">
        <v>212</v>
      </c>
      <c r="T5" s="3" t="s">
        <v>215</v>
      </c>
    </row>
    <row r="6" spans="2:26" x14ac:dyDescent="0.3">
      <c r="B6" t="s">
        <v>123</v>
      </c>
      <c r="C6" s="2">
        <v>1</v>
      </c>
      <c r="D6" t="s">
        <v>121</v>
      </c>
      <c r="E6" t="s">
        <v>151</v>
      </c>
      <c r="F6" s="2">
        <v>12</v>
      </c>
      <c r="G6" s="2">
        <v>12</v>
      </c>
      <c r="H6" s="2">
        <v>12</v>
      </c>
      <c r="I6" s="2">
        <v>7</v>
      </c>
      <c r="J6" s="2">
        <v>7</v>
      </c>
      <c r="K6" s="2" t="s">
        <v>5</v>
      </c>
      <c r="L6" s="2">
        <v>12</v>
      </c>
      <c r="M6" s="2">
        <v>7</v>
      </c>
      <c r="N6" s="2">
        <v>12</v>
      </c>
      <c r="O6" s="2">
        <v>12</v>
      </c>
      <c r="P6" s="2">
        <v>7</v>
      </c>
      <c r="Q6" s="2">
        <v>7</v>
      </c>
      <c r="R6" t="s">
        <v>213</v>
      </c>
      <c r="T6" s="3" t="s">
        <v>216</v>
      </c>
    </row>
    <row r="7" spans="2:26" x14ac:dyDescent="0.3">
      <c r="B7" t="s">
        <v>124</v>
      </c>
      <c r="C7" s="2">
        <v>18</v>
      </c>
      <c r="D7" t="s">
        <v>125</v>
      </c>
      <c r="E7" t="s">
        <v>157</v>
      </c>
      <c r="F7" s="2">
        <v>1</v>
      </c>
      <c r="G7" s="2">
        <v>9</v>
      </c>
      <c r="H7" s="2">
        <v>7</v>
      </c>
      <c r="I7" s="2">
        <v>1</v>
      </c>
      <c r="J7" s="2">
        <v>1</v>
      </c>
      <c r="K7" s="2">
        <v>1</v>
      </c>
      <c r="L7" s="2">
        <v>7</v>
      </c>
      <c r="M7" s="2">
        <v>1</v>
      </c>
      <c r="N7" s="2">
        <v>7</v>
      </c>
      <c r="O7" s="2">
        <v>7</v>
      </c>
      <c r="P7" s="2">
        <v>1</v>
      </c>
      <c r="Q7" s="2">
        <v>1</v>
      </c>
      <c r="R7" t="s">
        <v>214</v>
      </c>
      <c r="T7" s="3" t="s">
        <v>217</v>
      </c>
      <c r="Y7">
        <v>5</v>
      </c>
      <c r="Z7">
        <v>1</v>
      </c>
    </row>
    <row r="8" spans="2:26" x14ac:dyDescent="0.3">
      <c r="B8" t="s">
        <v>126</v>
      </c>
      <c r="C8" s="2">
        <v>20</v>
      </c>
      <c r="D8" t="s">
        <v>127</v>
      </c>
      <c r="E8" t="s">
        <v>158</v>
      </c>
      <c r="F8" s="2" t="s">
        <v>5</v>
      </c>
      <c r="G8" s="2">
        <v>9</v>
      </c>
      <c r="H8" s="2">
        <v>4</v>
      </c>
      <c r="I8" s="2" t="s">
        <v>5</v>
      </c>
      <c r="J8" s="2">
        <v>8</v>
      </c>
      <c r="K8" s="2" t="s">
        <v>5</v>
      </c>
      <c r="L8" s="2">
        <v>4</v>
      </c>
      <c r="M8" s="2">
        <v>7</v>
      </c>
      <c r="N8" s="2">
        <v>4</v>
      </c>
      <c r="O8" s="2">
        <v>4</v>
      </c>
      <c r="P8" s="2">
        <v>8</v>
      </c>
      <c r="Q8" s="2">
        <v>8</v>
      </c>
      <c r="R8" t="s">
        <v>176</v>
      </c>
      <c r="T8" s="3" t="s">
        <v>190</v>
      </c>
      <c r="W8">
        <v>5</v>
      </c>
      <c r="Y8">
        <v>6</v>
      </c>
      <c r="Z8">
        <v>3</v>
      </c>
    </row>
    <row r="9" spans="2:26" x14ac:dyDescent="0.3">
      <c r="B9" t="s">
        <v>128</v>
      </c>
      <c r="C9" s="2">
        <v>1</v>
      </c>
      <c r="D9" t="s">
        <v>121</v>
      </c>
      <c r="E9" t="s">
        <v>151</v>
      </c>
      <c r="F9" s="2"/>
      <c r="G9" s="2">
        <v>12</v>
      </c>
      <c r="H9" s="2" t="s">
        <v>159</v>
      </c>
      <c r="I9" s="2" t="s">
        <v>5</v>
      </c>
      <c r="J9" s="2">
        <v>11</v>
      </c>
      <c r="K9" s="2">
        <v>11</v>
      </c>
      <c r="L9" s="2">
        <v>12</v>
      </c>
      <c r="M9" s="2">
        <v>10</v>
      </c>
      <c r="N9" s="2">
        <v>12</v>
      </c>
      <c r="O9" s="2">
        <v>17</v>
      </c>
      <c r="P9" s="2">
        <v>11</v>
      </c>
      <c r="Q9" s="2">
        <v>12</v>
      </c>
      <c r="R9" t="s">
        <v>177</v>
      </c>
      <c r="T9" s="3" t="s">
        <v>191</v>
      </c>
      <c r="W9">
        <v>6</v>
      </c>
      <c r="Y9">
        <v>7</v>
      </c>
      <c r="Z9">
        <v>2</v>
      </c>
    </row>
    <row r="10" spans="2:26" x14ac:dyDescent="0.3">
      <c r="B10" t="s">
        <v>129</v>
      </c>
      <c r="C10" s="2">
        <v>16</v>
      </c>
      <c r="D10" t="s">
        <v>130</v>
      </c>
      <c r="E10" t="s">
        <v>155</v>
      </c>
      <c r="F10" s="2"/>
      <c r="J10" s="2" t="s">
        <v>5</v>
      </c>
      <c r="K10" s="2" t="s">
        <v>159</v>
      </c>
      <c r="L10" s="2" t="s">
        <v>5</v>
      </c>
      <c r="M10" s="2">
        <v>19</v>
      </c>
      <c r="N10" s="2">
        <v>19</v>
      </c>
      <c r="O10" s="2">
        <v>12</v>
      </c>
      <c r="P10" s="2">
        <v>19</v>
      </c>
      <c r="Q10" s="2">
        <v>19</v>
      </c>
      <c r="R10" t="s">
        <v>178</v>
      </c>
      <c r="T10" s="3" t="s">
        <v>192</v>
      </c>
      <c r="W10">
        <v>6</v>
      </c>
      <c r="Y10">
        <v>8</v>
      </c>
      <c r="Z10">
        <v>0</v>
      </c>
    </row>
    <row r="11" spans="2:26" x14ac:dyDescent="0.3">
      <c r="B11" t="s">
        <v>131</v>
      </c>
      <c r="C11" s="2">
        <v>8</v>
      </c>
      <c r="D11" t="s">
        <v>132</v>
      </c>
      <c r="E11" t="s">
        <v>160</v>
      </c>
      <c r="J11" s="2"/>
      <c r="K11" s="2"/>
      <c r="L11" s="2">
        <v>12</v>
      </c>
      <c r="M11" s="2">
        <v>12</v>
      </c>
      <c r="N11" s="2">
        <v>12</v>
      </c>
      <c r="O11" s="2">
        <v>12</v>
      </c>
      <c r="P11" s="2">
        <v>11</v>
      </c>
      <c r="Q11" s="2">
        <v>11</v>
      </c>
      <c r="R11" t="s">
        <v>179</v>
      </c>
      <c r="T11" s="3" t="s">
        <v>193</v>
      </c>
      <c r="W11">
        <v>6</v>
      </c>
      <c r="Y11">
        <v>9</v>
      </c>
      <c r="Z11">
        <v>0</v>
      </c>
    </row>
    <row r="12" spans="2:26" x14ac:dyDescent="0.3">
      <c r="B12" t="s">
        <v>133</v>
      </c>
      <c r="C12" s="2">
        <v>9</v>
      </c>
      <c r="D12" t="s">
        <v>134</v>
      </c>
      <c r="E12" t="s">
        <v>161</v>
      </c>
      <c r="J12" s="2"/>
      <c r="K12" s="2"/>
      <c r="L12" s="2">
        <v>2</v>
      </c>
      <c r="M12" s="2">
        <v>2</v>
      </c>
      <c r="N12" s="2">
        <v>3</v>
      </c>
      <c r="O12" s="2">
        <v>2</v>
      </c>
      <c r="P12" s="2">
        <v>2</v>
      </c>
      <c r="Q12" s="2">
        <v>2</v>
      </c>
      <c r="R12" t="s">
        <v>180</v>
      </c>
      <c r="T12" s="3" t="s">
        <v>194</v>
      </c>
      <c r="W12">
        <v>7</v>
      </c>
      <c r="Y12">
        <v>10</v>
      </c>
      <c r="Z12">
        <v>3</v>
      </c>
    </row>
    <row r="13" spans="2:26" x14ac:dyDescent="0.3">
      <c r="B13" t="s">
        <v>135</v>
      </c>
      <c r="C13" s="2">
        <v>11</v>
      </c>
      <c r="D13" t="s">
        <v>120</v>
      </c>
      <c r="E13" t="s">
        <v>151</v>
      </c>
      <c r="J13" s="2"/>
      <c r="K13" s="2"/>
      <c r="L13" s="2">
        <v>12</v>
      </c>
      <c r="M13" s="2">
        <v>8</v>
      </c>
      <c r="N13" s="2" t="s">
        <v>159</v>
      </c>
      <c r="O13" s="2">
        <v>12</v>
      </c>
      <c r="P13" s="2" t="s">
        <v>5</v>
      </c>
      <c r="Q13" s="2">
        <v>8</v>
      </c>
      <c r="R13" t="s">
        <v>181</v>
      </c>
      <c r="T13" s="3" t="s">
        <v>195</v>
      </c>
      <c r="W13">
        <v>7</v>
      </c>
      <c r="Y13">
        <v>11</v>
      </c>
      <c r="Z13">
        <v>1</v>
      </c>
    </row>
    <row r="14" spans="2:26" x14ac:dyDescent="0.3">
      <c r="B14" t="s">
        <v>136</v>
      </c>
      <c r="C14" s="2">
        <v>17</v>
      </c>
      <c r="D14" t="s">
        <v>137</v>
      </c>
      <c r="E14" t="s">
        <v>153</v>
      </c>
      <c r="J14" s="2"/>
      <c r="K14" s="2"/>
      <c r="L14" s="2"/>
      <c r="M14" s="2"/>
      <c r="O14" s="2">
        <v>12</v>
      </c>
      <c r="P14" s="2">
        <v>12</v>
      </c>
      <c r="Q14" s="2">
        <v>10</v>
      </c>
      <c r="R14" t="s">
        <v>182</v>
      </c>
      <c r="T14" s="3" t="s">
        <v>196</v>
      </c>
      <c r="W14">
        <v>10</v>
      </c>
      <c r="Y14">
        <v>12</v>
      </c>
      <c r="Z14">
        <v>0</v>
      </c>
    </row>
    <row r="15" spans="2:26" x14ac:dyDescent="0.3">
      <c r="B15" t="s">
        <v>138</v>
      </c>
      <c r="C15" s="2">
        <v>11</v>
      </c>
      <c r="D15" t="s">
        <v>120</v>
      </c>
      <c r="E15" t="s">
        <v>155</v>
      </c>
      <c r="J15" s="2"/>
      <c r="K15" s="2"/>
      <c r="L15" s="2"/>
      <c r="M15" s="2"/>
      <c r="O15" s="2"/>
      <c r="P15" s="2">
        <v>19</v>
      </c>
      <c r="Q15" s="2">
        <v>19</v>
      </c>
      <c r="R15" t="s">
        <v>183</v>
      </c>
      <c r="T15" s="3"/>
      <c r="W15">
        <v>10</v>
      </c>
      <c r="Y15">
        <v>13</v>
      </c>
      <c r="Z15">
        <v>1</v>
      </c>
    </row>
    <row r="16" spans="2:26" x14ac:dyDescent="0.3">
      <c r="B16" t="s">
        <v>139</v>
      </c>
      <c r="C16" s="2">
        <v>17</v>
      </c>
      <c r="D16" t="s">
        <v>137</v>
      </c>
      <c r="E16" t="s">
        <v>162</v>
      </c>
      <c r="J16" s="2"/>
      <c r="K16" s="2"/>
      <c r="L16" s="2"/>
      <c r="M16" s="2"/>
      <c r="O16" s="2"/>
      <c r="P16" s="2" t="s">
        <v>159</v>
      </c>
      <c r="Q16" s="2">
        <v>5</v>
      </c>
      <c r="R16" t="s">
        <v>184</v>
      </c>
      <c r="T16" s="3"/>
      <c r="W16">
        <v>10</v>
      </c>
      <c r="Y16">
        <v>14</v>
      </c>
      <c r="Z16">
        <v>0</v>
      </c>
    </row>
    <row r="17" spans="2:35" x14ac:dyDescent="0.3">
      <c r="B17" t="s">
        <v>140</v>
      </c>
      <c r="C17" s="2">
        <v>17</v>
      </c>
      <c r="D17" t="s">
        <v>137</v>
      </c>
      <c r="E17" t="s">
        <v>163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v>10</v>
      </c>
      <c r="R17" s="3" t="s">
        <v>185</v>
      </c>
      <c r="T17" s="3"/>
      <c r="W17">
        <v>11</v>
      </c>
      <c r="Y17">
        <v>15</v>
      </c>
      <c r="Z17">
        <v>0</v>
      </c>
    </row>
    <row r="18" spans="2:35" x14ac:dyDescent="0.3">
      <c r="B18" t="s">
        <v>115</v>
      </c>
      <c r="C18" s="2">
        <v>3</v>
      </c>
      <c r="D18" t="s">
        <v>141</v>
      </c>
      <c r="E18" t="s">
        <v>152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v>0</v>
      </c>
      <c r="R18" s="3" t="s">
        <v>186</v>
      </c>
      <c r="T18" s="3"/>
      <c r="W18">
        <v>13</v>
      </c>
      <c r="Y18">
        <v>16</v>
      </c>
      <c r="Z18">
        <v>0</v>
      </c>
    </row>
    <row r="19" spans="2:35" x14ac:dyDescent="0.3">
      <c r="B19" t="s">
        <v>114</v>
      </c>
      <c r="C19" s="2">
        <v>8</v>
      </c>
      <c r="D19" t="s">
        <v>132</v>
      </c>
      <c r="E19" t="s">
        <v>164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v>6</v>
      </c>
      <c r="R19" s="3" t="s">
        <v>187</v>
      </c>
      <c r="T19" s="3"/>
      <c r="W19">
        <v>19</v>
      </c>
      <c r="Y19">
        <v>17</v>
      </c>
      <c r="Z19">
        <v>0</v>
      </c>
    </row>
    <row r="20" spans="2:35" x14ac:dyDescent="0.3">
      <c r="B20" t="s">
        <v>116</v>
      </c>
      <c r="C20" s="2">
        <v>17</v>
      </c>
      <c r="D20" t="s">
        <v>137</v>
      </c>
      <c r="E20" t="s">
        <v>163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v>10</v>
      </c>
      <c r="R20" s="3" t="s">
        <v>185</v>
      </c>
      <c r="T20" s="3"/>
      <c r="Y20">
        <v>18</v>
      </c>
      <c r="Z20">
        <v>0</v>
      </c>
    </row>
    <row r="21" spans="2:35" x14ac:dyDescent="0.3">
      <c r="B21" t="s">
        <v>117</v>
      </c>
      <c r="C21" s="2">
        <v>12</v>
      </c>
      <c r="D21" t="s">
        <v>142</v>
      </c>
      <c r="E21" t="s">
        <v>163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v>10</v>
      </c>
      <c r="R21" s="3" t="s">
        <v>185</v>
      </c>
      <c r="T21" s="3"/>
      <c r="Y21">
        <v>19</v>
      </c>
      <c r="Z21">
        <v>1</v>
      </c>
    </row>
    <row r="22" spans="2:35" x14ac:dyDescent="0.3">
      <c r="B22" t="s">
        <v>118</v>
      </c>
      <c r="C22" s="2">
        <v>1</v>
      </c>
      <c r="D22" t="s">
        <v>121</v>
      </c>
      <c r="E22" t="s">
        <v>165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v>9</v>
      </c>
      <c r="R22" s="3" t="s">
        <v>188</v>
      </c>
      <c r="T22" s="3"/>
    </row>
    <row r="24" spans="2:35" x14ac:dyDescent="0.3">
      <c r="X24">
        <v>6</v>
      </c>
      <c r="Y24">
        <v>100</v>
      </c>
    </row>
    <row r="25" spans="2:35" x14ac:dyDescent="0.3">
      <c r="B25" t="s">
        <v>143</v>
      </c>
      <c r="X25">
        <v>2</v>
      </c>
      <c r="Y25">
        <f>(X25*Y24)/X24</f>
        <v>33.333333333333336</v>
      </c>
    </row>
    <row r="26" spans="2:35" x14ac:dyDescent="0.3">
      <c r="B26" t="s">
        <v>144</v>
      </c>
    </row>
    <row r="27" spans="2:35" x14ac:dyDescent="0.3">
      <c r="B27" t="s">
        <v>145</v>
      </c>
    </row>
    <row r="28" spans="2:35" x14ac:dyDescent="0.3">
      <c r="B28" t="s">
        <v>146</v>
      </c>
    </row>
    <row r="30" spans="2:35" x14ac:dyDescent="0.3">
      <c r="F30" t="s">
        <v>150</v>
      </c>
    </row>
    <row r="31" spans="2:35" x14ac:dyDescent="0.3">
      <c r="C31" s="2" t="s">
        <v>147</v>
      </c>
      <c r="D31" t="s">
        <v>148</v>
      </c>
      <c r="E31" t="s">
        <v>149</v>
      </c>
      <c r="F31" s="2" t="s">
        <v>99</v>
      </c>
      <c r="G31" s="2" t="s">
        <v>100</v>
      </c>
      <c r="H31" s="2" t="s">
        <v>101</v>
      </c>
      <c r="I31" s="2" t="s">
        <v>102</v>
      </c>
      <c r="J31" s="2" t="s">
        <v>103</v>
      </c>
      <c r="K31" s="2" t="s">
        <v>104</v>
      </c>
      <c r="L31" s="2" t="s">
        <v>105</v>
      </c>
      <c r="M31" s="2" t="s">
        <v>106</v>
      </c>
      <c r="N31" s="2" t="s">
        <v>107</v>
      </c>
      <c r="O31" s="2" t="s">
        <v>108</v>
      </c>
      <c r="P31" s="2" t="s">
        <v>109</v>
      </c>
      <c r="Q31" s="2" t="s">
        <v>110</v>
      </c>
      <c r="R31" s="2" t="s">
        <v>154</v>
      </c>
      <c r="U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2:35" x14ac:dyDescent="0.3">
      <c r="B32" t="s">
        <v>117</v>
      </c>
      <c r="C32" s="2">
        <v>12</v>
      </c>
      <c r="D32" t="s">
        <v>142</v>
      </c>
      <c r="E32" t="s">
        <v>171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v>10</v>
      </c>
      <c r="R32" s="9">
        <v>10</v>
      </c>
      <c r="U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2:35" x14ac:dyDescent="0.3">
      <c r="B33" t="s">
        <v>136</v>
      </c>
      <c r="C33" s="2">
        <v>17</v>
      </c>
      <c r="D33" t="s">
        <v>137</v>
      </c>
      <c r="E33" t="s">
        <v>172</v>
      </c>
      <c r="F33" s="2"/>
      <c r="H33" s="2"/>
      <c r="I33" s="2"/>
      <c r="J33" s="2"/>
      <c r="K33" s="2"/>
      <c r="L33" s="2"/>
      <c r="M33" s="2"/>
      <c r="N33" s="2">
        <v>12</v>
      </c>
      <c r="O33" s="2"/>
      <c r="P33" s="2">
        <v>12</v>
      </c>
      <c r="Q33" s="2">
        <v>10</v>
      </c>
      <c r="R33" s="9">
        <v>10</v>
      </c>
      <c r="S33" t="s">
        <v>182</v>
      </c>
      <c r="U33" s="3" t="s">
        <v>196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2:35" x14ac:dyDescent="0.3">
      <c r="B34" t="s">
        <v>139</v>
      </c>
      <c r="C34" s="2">
        <v>17</v>
      </c>
      <c r="D34" t="s">
        <v>137</v>
      </c>
      <c r="E34" t="s">
        <v>173</v>
      </c>
      <c r="F34" s="2"/>
      <c r="G34" s="2"/>
      <c r="H34" s="2"/>
      <c r="I34" s="2"/>
      <c r="J34" s="2"/>
      <c r="K34" s="2"/>
      <c r="L34" s="2"/>
      <c r="M34" s="2"/>
      <c r="N34" s="2" t="s">
        <v>159</v>
      </c>
      <c r="O34" s="2"/>
      <c r="P34" s="2"/>
      <c r="Q34" s="2">
        <v>5</v>
      </c>
      <c r="R34" s="9">
        <v>5</v>
      </c>
      <c r="U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2:35" x14ac:dyDescent="0.3">
      <c r="B35" t="s">
        <v>140</v>
      </c>
      <c r="C35" s="2">
        <v>17</v>
      </c>
      <c r="D35" t="s">
        <v>137</v>
      </c>
      <c r="E35" t="s">
        <v>171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v>10</v>
      </c>
      <c r="R35" s="9">
        <v>10</v>
      </c>
      <c r="U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2:35" x14ac:dyDescent="0.3">
      <c r="B36" t="s">
        <v>116</v>
      </c>
      <c r="C36" s="2">
        <v>17</v>
      </c>
      <c r="D36" t="s">
        <v>137</v>
      </c>
      <c r="E36" t="s">
        <v>171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v>10</v>
      </c>
      <c r="R36" s="9">
        <v>10</v>
      </c>
      <c r="U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2:35" x14ac:dyDescent="0.3">
      <c r="B37" t="s">
        <v>115</v>
      </c>
      <c r="C37" s="2">
        <v>3</v>
      </c>
      <c r="D37" t="s">
        <v>141</v>
      </c>
      <c r="E37" t="s">
        <v>174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">
        <v>159</v>
      </c>
      <c r="R37" s="9">
        <v>1</v>
      </c>
      <c r="U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2:35" x14ac:dyDescent="0.3">
      <c r="B38" t="s">
        <v>131</v>
      </c>
      <c r="C38" s="2">
        <v>8</v>
      </c>
      <c r="D38" t="s">
        <v>132</v>
      </c>
      <c r="E38" t="s">
        <v>169</v>
      </c>
      <c r="F38" s="2"/>
      <c r="G38" s="2"/>
      <c r="H38" s="2"/>
      <c r="I38" s="2">
        <v>12</v>
      </c>
      <c r="J38" s="2"/>
      <c r="K38" s="2"/>
      <c r="L38" s="2"/>
      <c r="M38" s="2">
        <v>12</v>
      </c>
      <c r="N38" s="2">
        <v>11</v>
      </c>
      <c r="O38" s="2">
        <v>12</v>
      </c>
      <c r="P38" s="2">
        <v>12</v>
      </c>
      <c r="Q38" s="2">
        <v>11</v>
      </c>
      <c r="R38" s="9">
        <v>11</v>
      </c>
      <c r="S38" t="s">
        <v>179</v>
      </c>
      <c r="U38" s="3" t="s">
        <v>193</v>
      </c>
      <c r="Z38" s="2"/>
      <c r="AB38" s="2"/>
      <c r="AC38" s="2"/>
      <c r="AD38" s="2"/>
      <c r="AE38" s="2"/>
      <c r="AF38" s="2"/>
      <c r="AG38" s="2"/>
      <c r="AH38" s="2"/>
      <c r="AI38" s="2"/>
    </row>
    <row r="39" spans="2:35" x14ac:dyDescent="0.3">
      <c r="B39" t="s">
        <v>114</v>
      </c>
      <c r="C39" s="2">
        <v>8</v>
      </c>
      <c r="D39" t="s">
        <v>132</v>
      </c>
      <c r="E39" t="s">
        <v>168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v>6</v>
      </c>
      <c r="R39" s="9">
        <v>6</v>
      </c>
      <c r="U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2:35" x14ac:dyDescent="0.3">
      <c r="B40" t="s">
        <v>124</v>
      </c>
      <c r="C40" s="2">
        <v>18</v>
      </c>
      <c r="D40" t="s">
        <v>125</v>
      </c>
      <c r="E40" t="s">
        <v>174</v>
      </c>
      <c r="F40" s="2">
        <v>1</v>
      </c>
      <c r="G40" s="2">
        <v>9</v>
      </c>
      <c r="H40" s="2">
        <v>7</v>
      </c>
      <c r="I40" s="2">
        <v>7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7</v>
      </c>
      <c r="P40" s="2">
        <v>7</v>
      </c>
      <c r="Q40" s="2">
        <v>1</v>
      </c>
      <c r="R40" s="9">
        <v>1</v>
      </c>
      <c r="S40" t="s">
        <v>214</v>
      </c>
      <c r="U40" s="3" t="s">
        <v>218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2:35" x14ac:dyDescent="0.3">
      <c r="B41" t="s">
        <v>133</v>
      </c>
      <c r="C41" s="2">
        <v>9</v>
      </c>
      <c r="D41" t="s">
        <v>134</v>
      </c>
      <c r="E41" t="s">
        <v>170</v>
      </c>
      <c r="F41" s="2"/>
      <c r="H41" s="2"/>
      <c r="I41" s="2">
        <v>2</v>
      </c>
      <c r="J41" s="2"/>
      <c r="K41" s="2"/>
      <c r="L41" s="2"/>
      <c r="M41" s="2">
        <v>2</v>
      </c>
      <c r="N41" s="2">
        <v>2</v>
      </c>
      <c r="O41" s="2">
        <v>3</v>
      </c>
      <c r="P41" s="2">
        <v>2</v>
      </c>
      <c r="Q41" s="2">
        <v>2</v>
      </c>
      <c r="R41" s="9">
        <v>2</v>
      </c>
      <c r="S41" t="s">
        <v>180</v>
      </c>
      <c r="U41" s="3" t="s">
        <v>198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2:35" x14ac:dyDescent="0.3">
      <c r="B42" t="s">
        <v>126</v>
      </c>
      <c r="C42" s="2">
        <v>20</v>
      </c>
      <c r="D42" t="s">
        <v>127</v>
      </c>
      <c r="E42" t="s">
        <v>175</v>
      </c>
      <c r="F42" s="2" t="s">
        <v>5</v>
      </c>
      <c r="G42" s="2">
        <v>9</v>
      </c>
      <c r="H42" s="2">
        <v>4</v>
      </c>
      <c r="I42" s="2">
        <v>4</v>
      </c>
      <c r="J42" s="2" t="s">
        <v>5</v>
      </c>
      <c r="K42" s="2">
        <v>8</v>
      </c>
      <c r="L42" s="2" t="s">
        <v>5</v>
      </c>
      <c r="M42" s="2">
        <v>7</v>
      </c>
      <c r="N42" s="2">
        <v>8</v>
      </c>
      <c r="O42" s="2">
        <v>4</v>
      </c>
      <c r="P42" s="2">
        <v>4</v>
      </c>
      <c r="Q42" s="2">
        <v>8</v>
      </c>
      <c r="R42" s="9">
        <v>8</v>
      </c>
      <c r="S42" t="s">
        <v>176</v>
      </c>
      <c r="U42" s="3" t="s">
        <v>190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2:35" x14ac:dyDescent="0.3">
      <c r="B43" t="s">
        <v>122</v>
      </c>
      <c r="C43" s="2">
        <v>1</v>
      </c>
      <c r="D43" t="s">
        <v>121</v>
      </c>
      <c r="E43" t="s">
        <v>156</v>
      </c>
      <c r="F43" s="2">
        <v>12</v>
      </c>
      <c r="G43" s="2">
        <v>12</v>
      </c>
      <c r="H43" s="2">
        <v>12</v>
      </c>
      <c r="I43" s="2">
        <v>12</v>
      </c>
      <c r="J43" s="2">
        <v>14</v>
      </c>
      <c r="K43" s="2" t="s">
        <v>5</v>
      </c>
      <c r="L43" s="2">
        <v>14</v>
      </c>
      <c r="M43" s="2">
        <v>14</v>
      </c>
      <c r="N43" s="2">
        <v>14</v>
      </c>
      <c r="O43" s="2">
        <v>12</v>
      </c>
      <c r="P43" s="2">
        <v>12</v>
      </c>
      <c r="Q43" s="2">
        <v>10</v>
      </c>
      <c r="R43" s="9">
        <v>14</v>
      </c>
      <c r="S43" t="s">
        <v>212</v>
      </c>
      <c r="U43" s="3" t="s">
        <v>215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 x14ac:dyDescent="0.3">
      <c r="B44" t="s">
        <v>123</v>
      </c>
      <c r="C44" s="2">
        <v>1</v>
      </c>
      <c r="D44" t="s">
        <v>121</v>
      </c>
      <c r="E44" t="s">
        <v>151</v>
      </c>
      <c r="F44" s="2">
        <v>12</v>
      </c>
      <c r="G44" s="2">
        <v>12</v>
      </c>
      <c r="H44" s="2">
        <v>12</v>
      </c>
      <c r="I44" s="2">
        <v>12</v>
      </c>
      <c r="J44" s="2">
        <v>7</v>
      </c>
      <c r="K44" s="2">
        <v>7</v>
      </c>
      <c r="L44" s="2" t="s">
        <v>5</v>
      </c>
      <c r="M44" s="2">
        <v>7</v>
      </c>
      <c r="N44" s="2">
        <v>7</v>
      </c>
      <c r="O44" s="2">
        <v>12</v>
      </c>
      <c r="P44" s="2">
        <v>12</v>
      </c>
      <c r="Q44" s="2">
        <v>7</v>
      </c>
      <c r="R44" s="9">
        <v>9</v>
      </c>
      <c r="S44" t="s">
        <v>213</v>
      </c>
      <c r="U44" s="3" t="s">
        <v>216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 x14ac:dyDescent="0.3">
      <c r="B45" t="s">
        <v>128</v>
      </c>
      <c r="C45" s="2">
        <v>1</v>
      </c>
      <c r="D45" t="s">
        <v>121</v>
      </c>
      <c r="E45" t="s">
        <v>151</v>
      </c>
      <c r="F45" s="2"/>
      <c r="G45" s="2">
        <v>12</v>
      </c>
      <c r="H45" s="2" t="s">
        <v>159</v>
      </c>
      <c r="I45" s="2">
        <v>12</v>
      </c>
      <c r="J45" s="2" t="s">
        <v>5</v>
      </c>
      <c r="K45" s="2">
        <v>11</v>
      </c>
      <c r="L45" s="2">
        <v>11</v>
      </c>
      <c r="M45" s="2">
        <v>10</v>
      </c>
      <c r="N45" s="2">
        <v>11</v>
      </c>
      <c r="O45" s="2">
        <v>12</v>
      </c>
      <c r="P45" s="2">
        <v>17</v>
      </c>
      <c r="Q45" s="2">
        <v>12</v>
      </c>
      <c r="R45" s="9">
        <v>14</v>
      </c>
      <c r="S45" t="s">
        <v>177</v>
      </c>
      <c r="U45" s="3" t="s">
        <v>191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 x14ac:dyDescent="0.3">
      <c r="B46" t="s">
        <v>118</v>
      </c>
      <c r="C46" s="2">
        <v>1</v>
      </c>
      <c r="D46" t="s">
        <v>121</v>
      </c>
      <c r="E46" t="s">
        <v>165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>
        <v>9</v>
      </c>
      <c r="R46" s="9">
        <v>9</v>
      </c>
      <c r="S46" t="s">
        <v>188</v>
      </c>
      <c r="U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 x14ac:dyDescent="0.3">
      <c r="B47" t="s">
        <v>119</v>
      </c>
      <c r="C47" s="2">
        <v>11</v>
      </c>
      <c r="D47" t="s">
        <v>120</v>
      </c>
      <c r="E47" t="s">
        <v>155</v>
      </c>
      <c r="F47" s="2">
        <v>19</v>
      </c>
      <c r="G47" s="2">
        <v>19</v>
      </c>
      <c r="H47" s="2">
        <v>19</v>
      </c>
      <c r="I47" s="2">
        <v>19</v>
      </c>
      <c r="J47" s="2">
        <v>19</v>
      </c>
      <c r="K47" s="2">
        <v>19</v>
      </c>
      <c r="L47" s="2">
        <v>19</v>
      </c>
      <c r="M47" s="2">
        <v>19</v>
      </c>
      <c r="N47" s="2">
        <v>19</v>
      </c>
      <c r="O47" s="2">
        <v>19</v>
      </c>
      <c r="P47" s="2">
        <v>19</v>
      </c>
      <c r="Q47" s="2">
        <v>19</v>
      </c>
      <c r="R47" s="9">
        <v>19</v>
      </c>
      <c r="S47" t="s">
        <v>211</v>
      </c>
      <c r="U47" s="4" t="s">
        <v>189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 x14ac:dyDescent="0.3">
      <c r="B48" t="s">
        <v>135</v>
      </c>
      <c r="C48" s="2">
        <v>11</v>
      </c>
      <c r="D48" t="s">
        <v>120</v>
      </c>
      <c r="E48" t="s">
        <v>151</v>
      </c>
      <c r="F48" s="2"/>
      <c r="G48" s="2"/>
      <c r="H48" s="2"/>
      <c r="I48" s="2">
        <v>12</v>
      </c>
      <c r="J48" s="2"/>
      <c r="K48" s="2"/>
      <c r="L48" s="2"/>
      <c r="M48" s="2">
        <v>8</v>
      </c>
      <c r="N48" s="2" t="s">
        <v>5</v>
      </c>
      <c r="O48" s="2" t="s">
        <v>159</v>
      </c>
      <c r="P48" s="2">
        <v>12</v>
      </c>
      <c r="Q48" s="2">
        <v>8</v>
      </c>
      <c r="R48" s="9" t="s">
        <v>166</v>
      </c>
      <c r="S48" t="s">
        <v>181</v>
      </c>
      <c r="U48" s="3" t="s">
        <v>195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2:35" x14ac:dyDescent="0.3">
      <c r="B49" t="s">
        <v>138</v>
      </c>
      <c r="C49" s="2">
        <v>11</v>
      </c>
      <c r="D49" t="s">
        <v>120</v>
      </c>
      <c r="E49" t="s">
        <v>155</v>
      </c>
      <c r="F49" s="2"/>
      <c r="G49" s="2"/>
      <c r="H49" s="2"/>
      <c r="I49" s="2"/>
      <c r="J49" s="2"/>
      <c r="K49" s="2"/>
      <c r="L49" s="2"/>
      <c r="M49" s="2"/>
      <c r="N49" s="2">
        <v>19</v>
      </c>
      <c r="O49" s="2"/>
      <c r="P49" s="2"/>
      <c r="Q49" s="2">
        <v>19</v>
      </c>
      <c r="R49" s="9">
        <v>19</v>
      </c>
      <c r="U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2:35" x14ac:dyDescent="0.3">
      <c r="B50" t="s">
        <v>129</v>
      </c>
      <c r="C50" s="2">
        <v>16</v>
      </c>
      <c r="D50" t="s">
        <v>130</v>
      </c>
      <c r="E50" t="s">
        <v>155</v>
      </c>
      <c r="F50" s="2"/>
      <c r="I50" s="2" t="s">
        <v>5</v>
      </c>
      <c r="K50" s="2" t="s">
        <v>5</v>
      </c>
      <c r="L50" s="2" t="s">
        <v>159</v>
      </c>
      <c r="M50" s="2">
        <v>19</v>
      </c>
      <c r="N50" s="2">
        <v>19</v>
      </c>
      <c r="O50" s="2">
        <v>19</v>
      </c>
      <c r="P50" s="2">
        <v>12</v>
      </c>
      <c r="Q50" s="2">
        <v>19</v>
      </c>
      <c r="R50" s="9">
        <v>19</v>
      </c>
      <c r="S50" t="s">
        <v>178</v>
      </c>
      <c r="U50" s="3" t="s">
        <v>197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2" spans="2:35" x14ac:dyDescent="0.3">
      <c r="Q52" t="s">
        <v>201</v>
      </c>
      <c r="R52" t="s">
        <v>202</v>
      </c>
      <c r="S52" t="s">
        <v>203</v>
      </c>
    </row>
    <row r="53" spans="2:35" x14ac:dyDescent="0.3">
      <c r="Q53" s="2">
        <v>6</v>
      </c>
      <c r="R53">
        <v>1</v>
      </c>
      <c r="S53" s="11">
        <f>R53/7*100</f>
        <v>14.285714285714285</v>
      </c>
    </row>
    <row r="54" spans="2:35" x14ac:dyDescent="0.3">
      <c r="Q54" s="2">
        <v>11</v>
      </c>
      <c r="R54">
        <v>2</v>
      </c>
      <c r="S54" s="11">
        <f>R54/7*100</f>
        <v>28.571428571428569</v>
      </c>
    </row>
    <row r="55" spans="2:35" x14ac:dyDescent="0.3">
      <c r="Q55" s="2">
        <v>12</v>
      </c>
      <c r="R55" s="10">
        <v>4</v>
      </c>
      <c r="S55" s="11">
        <f>R55/7*100</f>
        <v>57.142857142857139</v>
      </c>
    </row>
    <row r="56" spans="2:35" x14ac:dyDescent="0.3">
      <c r="Q56" s="2"/>
      <c r="S56" s="11"/>
    </row>
    <row r="57" spans="2:35" x14ac:dyDescent="0.3">
      <c r="Q57" s="2">
        <f>14+29</f>
        <v>43</v>
      </c>
      <c r="R57">
        <f>SUM(R53:R56)</f>
        <v>7</v>
      </c>
      <c r="S57" s="11"/>
    </row>
    <row r="58" spans="2:35" x14ac:dyDescent="0.3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S58" s="11"/>
    </row>
    <row r="59" spans="2:35" x14ac:dyDescent="0.3">
      <c r="C59" s="2" t="s">
        <v>147</v>
      </c>
      <c r="D59" t="s">
        <v>148</v>
      </c>
      <c r="E59" t="s">
        <v>149</v>
      </c>
      <c r="F59" s="3" t="s">
        <v>150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2:35" x14ac:dyDescent="0.3">
      <c r="B60" t="s">
        <v>122</v>
      </c>
      <c r="C60" s="2">
        <v>1</v>
      </c>
      <c r="D60" t="s">
        <v>121</v>
      </c>
      <c r="E60" t="s">
        <v>151</v>
      </c>
      <c r="F60" s="2"/>
      <c r="G60" s="2">
        <v>4</v>
      </c>
      <c r="H60" s="2" t="s">
        <v>121</v>
      </c>
      <c r="I60" s="2"/>
      <c r="J60" s="2"/>
      <c r="K60" s="2"/>
      <c r="L60" s="2"/>
      <c r="M60" s="2"/>
      <c r="N60" s="2"/>
      <c r="O60" s="2"/>
      <c r="P60" s="2"/>
      <c r="Q60" s="2"/>
      <c r="R60">
        <f>SUM(R53:R59)</f>
        <v>14</v>
      </c>
    </row>
    <row r="61" spans="2:35" x14ac:dyDescent="0.3">
      <c r="B61" t="s">
        <v>123</v>
      </c>
      <c r="C61" s="2">
        <v>1</v>
      </c>
      <c r="D61" t="s">
        <v>121</v>
      </c>
      <c r="E61" t="s">
        <v>151</v>
      </c>
      <c r="F61" s="2"/>
      <c r="G61" s="2">
        <v>3</v>
      </c>
      <c r="H61" s="2" t="s">
        <v>120</v>
      </c>
      <c r="I61" s="2"/>
      <c r="J61" s="2"/>
      <c r="K61" s="2"/>
      <c r="L61" s="2"/>
      <c r="M61" s="2"/>
      <c r="N61" s="2"/>
      <c r="O61" s="2"/>
      <c r="P61" s="2"/>
      <c r="Q61" s="2"/>
    </row>
    <row r="62" spans="2:35" x14ac:dyDescent="0.3">
      <c r="B62" t="s">
        <v>128</v>
      </c>
      <c r="C62" s="2">
        <v>1</v>
      </c>
      <c r="D62" t="s">
        <v>121</v>
      </c>
      <c r="E62" t="s">
        <v>151</v>
      </c>
      <c r="F62" s="2"/>
      <c r="G62" s="2">
        <v>4</v>
      </c>
      <c r="H62" s="2" t="s">
        <v>137</v>
      </c>
      <c r="I62" s="2"/>
      <c r="J62" s="2"/>
      <c r="K62" s="2"/>
      <c r="L62" s="2"/>
      <c r="M62" s="2"/>
      <c r="N62" s="2"/>
      <c r="O62" s="2"/>
      <c r="P62" s="2"/>
      <c r="Q62" s="2"/>
    </row>
    <row r="63" spans="2:35" x14ac:dyDescent="0.3">
      <c r="B63" t="s">
        <v>118</v>
      </c>
      <c r="C63" s="2">
        <v>1</v>
      </c>
      <c r="D63" t="s">
        <v>121</v>
      </c>
      <c r="E63" t="s">
        <v>151</v>
      </c>
      <c r="G63" s="2">
        <v>2</v>
      </c>
      <c r="H63" s="2" t="s">
        <v>132</v>
      </c>
    </row>
    <row r="64" spans="2:35" x14ac:dyDescent="0.3">
      <c r="B64" t="s">
        <v>119</v>
      </c>
      <c r="C64" s="2">
        <v>11</v>
      </c>
      <c r="D64" t="s">
        <v>120</v>
      </c>
      <c r="E64" t="s">
        <v>151</v>
      </c>
    </row>
    <row r="65" spans="2:10" x14ac:dyDescent="0.3">
      <c r="B65" t="s">
        <v>135</v>
      </c>
      <c r="C65" s="2">
        <v>11</v>
      </c>
      <c r="D65" t="s">
        <v>120</v>
      </c>
      <c r="E65" t="s">
        <v>151</v>
      </c>
      <c r="G65" s="2">
        <v>1</v>
      </c>
      <c r="H65" s="2" t="s">
        <v>130</v>
      </c>
    </row>
    <row r="66" spans="2:10" x14ac:dyDescent="0.3">
      <c r="B66" t="s">
        <v>138</v>
      </c>
      <c r="C66" s="2">
        <v>11</v>
      </c>
      <c r="D66" t="s">
        <v>120</v>
      </c>
      <c r="E66" t="s">
        <v>151</v>
      </c>
      <c r="G66" s="2">
        <v>1</v>
      </c>
      <c r="H66" s="2" t="s">
        <v>142</v>
      </c>
    </row>
    <row r="67" spans="2:10" x14ac:dyDescent="0.3">
      <c r="B67" t="s">
        <v>129</v>
      </c>
      <c r="C67" s="2">
        <v>16</v>
      </c>
      <c r="D67" t="s">
        <v>130</v>
      </c>
      <c r="E67" t="s">
        <v>151</v>
      </c>
      <c r="G67" s="2">
        <v>1</v>
      </c>
      <c r="H67" s="2" t="s">
        <v>141</v>
      </c>
    </row>
    <row r="68" spans="2:10" x14ac:dyDescent="0.3">
      <c r="B68" t="s">
        <v>117</v>
      </c>
      <c r="C68" s="2">
        <v>12</v>
      </c>
      <c r="D68" t="s">
        <v>142</v>
      </c>
      <c r="E68" t="s">
        <v>172</v>
      </c>
      <c r="G68" s="2">
        <v>1</v>
      </c>
      <c r="H68" s="2" t="s">
        <v>125</v>
      </c>
    </row>
    <row r="69" spans="2:10" x14ac:dyDescent="0.3">
      <c r="B69" t="s">
        <v>136</v>
      </c>
      <c r="C69" s="2">
        <v>17</v>
      </c>
      <c r="D69" t="s">
        <v>137</v>
      </c>
      <c r="E69" t="s">
        <v>172</v>
      </c>
      <c r="G69" s="2">
        <v>1</v>
      </c>
      <c r="H69" s="2" t="s">
        <v>134</v>
      </c>
    </row>
    <row r="70" spans="2:10" x14ac:dyDescent="0.3">
      <c r="B70" t="s">
        <v>139</v>
      </c>
      <c r="C70" s="2">
        <v>17</v>
      </c>
      <c r="D70" t="s">
        <v>137</v>
      </c>
      <c r="E70" t="s">
        <v>172</v>
      </c>
      <c r="G70" s="2">
        <v>1</v>
      </c>
      <c r="H70" s="2" t="s">
        <v>127</v>
      </c>
    </row>
    <row r="71" spans="2:10" x14ac:dyDescent="0.3">
      <c r="B71" t="s">
        <v>140</v>
      </c>
      <c r="C71" s="2">
        <v>17</v>
      </c>
      <c r="D71" t="s">
        <v>137</v>
      </c>
      <c r="E71" t="s">
        <v>172</v>
      </c>
    </row>
    <row r="72" spans="2:10" x14ac:dyDescent="0.3">
      <c r="B72" t="s">
        <v>116</v>
      </c>
      <c r="C72" s="2">
        <v>17</v>
      </c>
      <c r="D72" t="s">
        <v>137</v>
      </c>
      <c r="E72" t="s">
        <v>172</v>
      </c>
      <c r="G72">
        <f>SUM(G60:G70)</f>
        <v>19</v>
      </c>
    </row>
    <row r="73" spans="2:10" x14ac:dyDescent="0.3">
      <c r="B73" t="s">
        <v>115</v>
      </c>
      <c r="C73" s="2">
        <v>3</v>
      </c>
      <c r="D73" t="s">
        <v>141</v>
      </c>
      <c r="E73" t="s">
        <v>167</v>
      </c>
      <c r="J73">
        <f>13/19</f>
        <v>0.68421052631578949</v>
      </c>
    </row>
    <row r="74" spans="2:10" x14ac:dyDescent="0.3">
      <c r="B74" t="s">
        <v>114</v>
      </c>
      <c r="C74" s="2">
        <v>8</v>
      </c>
      <c r="D74" t="s">
        <v>132</v>
      </c>
      <c r="E74" t="s">
        <v>167</v>
      </c>
    </row>
    <row r="75" spans="2:10" x14ac:dyDescent="0.3">
      <c r="B75" t="s">
        <v>131</v>
      </c>
      <c r="C75" s="2">
        <v>8</v>
      </c>
      <c r="D75" t="s">
        <v>132</v>
      </c>
      <c r="E75" t="s">
        <v>167</v>
      </c>
    </row>
    <row r="76" spans="2:10" x14ac:dyDescent="0.3">
      <c r="B76" t="s">
        <v>124</v>
      </c>
      <c r="C76" s="2">
        <v>18</v>
      </c>
      <c r="D76" t="s">
        <v>125</v>
      </c>
      <c r="E76" t="s">
        <v>167</v>
      </c>
    </row>
    <row r="77" spans="2:10" x14ac:dyDescent="0.3">
      <c r="B77" t="s">
        <v>133</v>
      </c>
      <c r="C77" s="2">
        <v>9</v>
      </c>
      <c r="D77" t="s">
        <v>134</v>
      </c>
      <c r="E77" t="s">
        <v>199</v>
      </c>
    </row>
    <row r="78" spans="2:10" x14ac:dyDescent="0.3">
      <c r="B78" t="s">
        <v>126</v>
      </c>
      <c r="C78" s="2">
        <v>20</v>
      </c>
      <c r="D78" t="s">
        <v>127</v>
      </c>
      <c r="E78" t="s">
        <v>200</v>
      </c>
    </row>
  </sheetData>
  <sortState xmlns:xlrd2="http://schemas.microsoft.com/office/spreadsheetml/2017/richdata2" ref="B32:R50">
    <sortCondition ref="E32:E50"/>
    <sortCondition ref="C32:C50"/>
  </sortState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variations</vt:lpstr>
      <vt:lpstr>CRs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Helmke</dc:creator>
  <cp:lastModifiedBy>Christophe Helmke</cp:lastModifiedBy>
  <dcterms:created xsi:type="dcterms:W3CDTF">2025-05-13T10:30:06Z</dcterms:created>
  <dcterms:modified xsi:type="dcterms:W3CDTF">2025-12-28T20:15:34Z</dcterms:modified>
</cp:coreProperties>
</file>